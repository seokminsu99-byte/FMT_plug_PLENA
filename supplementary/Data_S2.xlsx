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okm\Downloads\"/>
    </mc:Choice>
  </mc:AlternateContent>
  <xr:revisionPtr revIDLastSave="0" documentId="13_ncr:1_{D5027735-667D-4451-B044-3026A17ACD3B}" xr6:coauthVersionLast="47" xr6:coauthVersionMax="47" xr10:uidLastSave="{00000000-0000-0000-0000-000000000000}"/>
  <bookViews>
    <workbookView xWindow="4680" yWindow="3855" windowWidth="21600" windowHeight="11835" xr2:uid="{00000000-000D-0000-FFFF-FFFF00000000}"/>
  </bookViews>
  <sheets>
    <sheet name="Metadata" sheetId="1" r:id="rId1"/>
    <sheet name="Best Beta Results" sheetId="2" r:id="rId2"/>
    <sheet name="All Beta NSE" sheetId="3" r:id="rId3"/>
    <sheet name="Summary" sheetId="4" r:id="rId4"/>
    <sheet name="Flood Metrics" sheetId="5" r:id="rId5"/>
    <sheet name="Flood Summary" sheetId="6" r:id="rId6"/>
    <sheet name="Flood Data Metho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6" l="1"/>
  <c r="D11" i="6"/>
  <c r="C11" i="6"/>
  <c r="F11" i="6" s="1"/>
  <c r="E10" i="6"/>
  <c r="D10" i="6"/>
  <c r="C10" i="6"/>
  <c r="F10" i="6" s="1"/>
  <c r="D9" i="6"/>
  <c r="C9" i="6"/>
  <c r="D8" i="6"/>
  <c r="C8" i="6"/>
  <c r="D7" i="6"/>
  <c r="C7" i="6"/>
  <c r="D6" i="6"/>
  <c r="C6" i="6"/>
  <c r="D5" i="6"/>
  <c r="C5" i="6"/>
  <c r="D4" i="6"/>
  <c r="C4" i="6"/>
  <c r="Z240" i="5"/>
  <c r="X240" i="5"/>
  <c r="Y240" i="5" s="1"/>
  <c r="Z239" i="5"/>
  <c r="X239" i="5"/>
  <c r="Y239" i="5" s="1"/>
  <c r="Z238" i="5"/>
  <c r="X238" i="5"/>
  <c r="Y238" i="5" s="1"/>
  <c r="Z237" i="5"/>
  <c r="X237" i="5"/>
  <c r="Y237" i="5" s="1"/>
  <c r="Z236" i="5"/>
  <c r="X236" i="5"/>
  <c r="Y236" i="5" s="1"/>
  <c r="Z235" i="5"/>
  <c r="X235" i="5"/>
  <c r="Y235" i="5" s="1"/>
  <c r="Z234" i="5"/>
  <c r="X234" i="5"/>
  <c r="Y234" i="5" s="1"/>
  <c r="Z233" i="5"/>
  <c r="X233" i="5"/>
  <c r="Y233" i="5" s="1"/>
  <c r="Z232" i="5"/>
  <c r="X232" i="5"/>
  <c r="Y232" i="5" s="1"/>
  <c r="Z231" i="5"/>
  <c r="X231" i="5"/>
  <c r="Y231" i="5" s="1"/>
  <c r="AC230" i="5"/>
  <c r="AD230" i="5" s="1"/>
  <c r="Z230" i="5"/>
  <c r="X230" i="5"/>
  <c r="Y230" i="5" s="1"/>
  <c r="Z229" i="5"/>
  <c r="X229" i="5"/>
  <c r="Y229" i="5" s="1"/>
  <c r="Z228" i="5"/>
  <c r="X228" i="5"/>
  <c r="Z227" i="5"/>
  <c r="X227" i="5"/>
  <c r="Y227" i="5" s="1"/>
  <c r="Z226" i="5"/>
  <c r="X226" i="5"/>
  <c r="Y226" i="5" s="1"/>
  <c r="Z225" i="5"/>
  <c r="X225" i="5"/>
  <c r="Y225" i="5" s="1"/>
  <c r="Z224" i="5"/>
  <c r="X224" i="5"/>
  <c r="Y224" i="5" s="1"/>
  <c r="Z223" i="5"/>
  <c r="X223" i="5"/>
  <c r="Y223" i="5" s="1"/>
  <c r="Z222" i="5"/>
  <c r="X222" i="5"/>
  <c r="Y222" i="5" s="1"/>
  <c r="Z221" i="5"/>
  <c r="X221" i="5"/>
  <c r="Y221" i="5" s="1"/>
  <c r="Z220" i="5"/>
  <c r="X220" i="5"/>
  <c r="Y220" i="5" s="1"/>
  <c r="Z219" i="5"/>
  <c r="X219" i="5"/>
  <c r="Y219" i="5" s="1"/>
  <c r="Z218" i="5"/>
  <c r="X218" i="5"/>
  <c r="Y218" i="5" s="1"/>
  <c r="Z217" i="5"/>
  <c r="X217" i="5"/>
  <c r="Y217" i="5" s="1"/>
  <c r="Z216" i="5"/>
  <c r="X216" i="5"/>
  <c r="Y216" i="5" s="1"/>
  <c r="Z215" i="5"/>
  <c r="X215" i="5"/>
  <c r="Y215" i="5" s="1"/>
  <c r="Z214" i="5"/>
  <c r="X214" i="5"/>
  <c r="Y214" i="5" s="1"/>
  <c r="Z213" i="5"/>
  <c r="X213" i="5"/>
  <c r="Y213" i="5" s="1"/>
  <c r="Z212" i="5"/>
  <c r="X212" i="5"/>
  <c r="Y212" i="5" s="1"/>
  <c r="Z211" i="5"/>
  <c r="X211" i="5"/>
  <c r="Y211" i="5" s="1"/>
  <c r="Z210" i="5"/>
  <c r="X210" i="5"/>
  <c r="Y210" i="5" s="1"/>
  <c r="Z209" i="5"/>
  <c r="X209" i="5"/>
  <c r="Y209" i="5" s="1"/>
  <c r="Z208" i="5"/>
  <c r="X208" i="5"/>
  <c r="Y208" i="5" s="1"/>
  <c r="Z207" i="5"/>
  <c r="X207" i="5"/>
  <c r="Y207" i="5" s="1"/>
  <c r="AB206" i="5"/>
  <c r="Z206" i="5"/>
  <c r="AA206" i="5" s="1"/>
  <c r="X206" i="5"/>
  <c r="Y206" i="5" s="1"/>
  <c r="Z205" i="5"/>
  <c r="X205" i="5"/>
  <c r="Y205" i="5" s="1"/>
  <c r="Z204" i="5"/>
  <c r="X204" i="5"/>
  <c r="Y204" i="5" s="1"/>
  <c r="Z203" i="5"/>
  <c r="X203" i="5"/>
  <c r="Y203" i="5" s="1"/>
  <c r="Z202" i="5"/>
  <c r="X202" i="5"/>
  <c r="Y202" i="5" s="1"/>
  <c r="Z201" i="5"/>
  <c r="X201" i="5"/>
  <c r="Y201" i="5" s="1"/>
  <c r="Z200" i="5"/>
  <c r="X200" i="5"/>
  <c r="Y200" i="5" s="1"/>
  <c r="Z199" i="5"/>
  <c r="X199" i="5"/>
  <c r="Y199" i="5" s="1"/>
  <c r="Z198" i="5"/>
  <c r="X198" i="5"/>
  <c r="Y198" i="5" s="1"/>
  <c r="Z197" i="5"/>
  <c r="X197" i="5"/>
  <c r="Y197" i="5" s="1"/>
  <c r="Z196" i="5"/>
  <c r="X196" i="5"/>
  <c r="Y196" i="5" s="1"/>
  <c r="Z195" i="5"/>
  <c r="X195" i="5"/>
  <c r="Y195" i="5" s="1"/>
  <c r="Z194" i="5"/>
  <c r="X194" i="5"/>
  <c r="Y194" i="5" s="1"/>
  <c r="Z193" i="5"/>
  <c r="X193" i="5"/>
  <c r="Y193" i="5" s="1"/>
  <c r="Z192" i="5"/>
  <c r="X192" i="5"/>
  <c r="Y192" i="5" s="1"/>
  <c r="Z191" i="5"/>
  <c r="X191" i="5"/>
  <c r="Y191" i="5" s="1"/>
  <c r="Z190" i="5"/>
  <c r="X190" i="5"/>
  <c r="Y190" i="5" s="1"/>
  <c r="Z189" i="5"/>
  <c r="X189" i="5"/>
  <c r="Y189" i="5" s="1"/>
  <c r="Z188" i="5"/>
  <c r="X188" i="5"/>
  <c r="Y188" i="5" s="1"/>
  <c r="Z187" i="5"/>
  <c r="X187" i="5"/>
  <c r="Y187" i="5" s="1"/>
  <c r="AB186" i="5"/>
  <c r="Z186" i="5"/>
  <c r="AA186" i="5" s="1"/>
  <c r="X186" i="5"/>
  <c r="Y186" i="5" s="1"/>
  <c r="Z185" i="5"/>
  <c r="X185" i="5"/>
  <c r="Y185" i="5" s="1"/>
  <c r="Z184" i="5"/>
  <c r="X184" i="5"/>
  <c r="Y184" i="5" s="1"/>
  <c r="Z183" i="5"/>
  <c r="X183" i="5"/>
  <c r="Y183" i="5" s="1"/>
  <c r="Z182" i="5"/>
  <c r="X182" i="5"/>
  <c r="Y182" i="5" s="1"/>
  <c r="Z181" i="5"/>
  <c r="X181" i="5"/>
  <c r="Y181" i="5" s="1"/>
  <c r="Z180" i="5"/>
  <c r="X180" i="5"/>
  <c r="Y180" i="5" s="1"/>
  <c r="Z179" i="5"/>
  <c r="X179" i="5"/>
  <c r="Y179" i="5" s="1"/>
  <c r="Z178" i="5"/>
  <c r="X178" i="5"/>
  <c r="Y178" i="5" s="1"/>
  <c r="Z177" i="5"/>
  <c r="X177" i="5"/>
  <c r="Y177" i="5" s="1"/>
  <c r="Z176" i="5"/>
  <c r="X176" i="5"/>
  <c r="Y176" i="5" s="1"/>
  <c r="Z175" i="5"/>
  <c r="X175" i="5"/>
  <c r="Y175" i="5" s="1"/>
  <c r="Z174" i="5"/>
  <c r="X174" i="5"/>
  <c r="Y174" i="5" s="1"/>
  <c r="Z173" i="5"/>
  <c r="X173" i="5"/>
  <c r="Y173" i="5" s="1"/>
  <c r="Z172" i="5"/>
  <c r="X172" i="5"/>
  <c r="Y172" i="5" s="1"/>
  <c r="Z171" i="5"/>
  <c r="X171" i="5"/>
  <c r="Y171" i="5" s="1"/>
  <c r="Z170" i="5"/>
  <c r="X170" i="5"/>
  <c r="Y170" i="5" s="1"/>
  <c r="Z169" i="5"/>
  <c r="X169" i="5"/>
  <c r="Y169" i="5" s="1"/>
  <c r="Z168" i="5"/>
  <c r="X168" i="5"/>
  <c r="Y168" i="5" s="1"/>
  <c r="AB167" i="5"/>
  <c r="Z167" i="5"/>
  <c r="AA167" i="5" s="1"/>
  <c r="X167" i="5"/>
  <c r="Y167" i="5" s="1"/>
  <c r="Z166" i="5"/>
  <c r="X166" i="5"/>
  <c r="Y166" i="5" s="1"/>
  <c r="Z165" i="5"/>
  <c r="X165" i="5"/>
  <c r="Y165" i="5" s="1"/>
  <c r="Z164" i="5"/>
  <c r="X164" i="5"/>
  <c r="Y164" i="5" s="1"/>
  <c r="Z163" i="5"/>
  <c r="X163" i="5"/>
  <c r="Y163" i="5" s="1"/>
  <c r="Z162" i="5"/>
  <c r="X162" i="5"/>
  <c r="Y162" i="5" s="1"/>
  <c r="Z161" i="5"/>
  <c r="X161" i="5"/>
  <c r="Y161" i="5" s="1"/>
  <c r="Z160" i="5"/>
  <c r="X160" i="5"/>
  <c r="Y160" i="5" s="1"/>
  <c r="Z159" i="5"/>
  <c r="X159" i="5"/>
  <c r="Y159" i="5" s="1"/>
  <c r="Z158" i="5"/>
  <c r="X158" i="5"/>
  <c r="Y158" i="5" s="1"/>
  <c r="Z157" i="5"/>
  <c r="X157" i="5"/>
  <c r="Y157" i="5" s="1"/>
  <c r="Z156" i="5"/>
  <c r="X156" i="5"/>
  <c r="Y156" i="5" s="1"/>
  <c r="Z155" i="5"/>
  <c r="X155" i="5"/>
  <c r="Y155" i="5" s="1"/>
  <c r="Z154" i="5"/>
  <c r="X154" i="5"/>
  <c r="Y154" i="5" s="1"/>
  <c r="Z153" i="5"/>
  <c r="X153" i="5"/>
  <c r="Y153" i="5" s="1"/>
  <c r="Z152" i="5"/>
  <c r="X152" i="5"/>
  <c r="Y152" i="5" s="1"/>
  <c r="Z151" i="5"/>
  <c r="X151" i="5"/>
  <c r="Y151" i="5" s="1"/>
  <c r="Z150" i="5"/>
  <c r="X150" i="5"/>
  <c r="Y150" i="5" s="1"/>
  <c r="Z149" i="5"/>
  <c r="X149" i="5"/>
  <c r="Y149" i="5" s="1"/>
  <c r="Z148" i="5"/>
  <c r="X148" i="5"/>
  <c r="Y148" i="5" s="1"/>
  <c r="Z147" i="5"/>
  <c r="X147" i="5"/>
  <c r="Y147" i="5" s="1"/>
  <c r="Z146" i="5"/>
  <c r="X146" i="5"/>
  <c r="Y146" i="5" s="1"/>
  <c r="Z145" i="5"/>
  <c r="X145" i="5"/>
  <c r="Y145" i="5" s="1"/>
  <c r="Z144" i="5"/>
  <c r="X144" i="5"/>
  <c r="Y144" i="5" s="1"/>
  <c r="Z143" i="5"/>
  <c r="X143" i="5"/>
  <c r="Y143" i="5" s="1"/>
  <c r="Z142" i="5"/>
  <c r="X142" i="5"/>
  <c r="Y142" i="5" s="1"/>
  <c r="Z141" i="5"/>
  <c r="X141" i="5"/>
  <c r="Y141" i="5" s="1"/>
  <c r="Z140" i="5"/>
  <c r="X140" i="5"/>
  <c r="Y140" i="5" s="1"/>
  <c r="Z139" i="5"/>
  <c r="X139" i="5"/>
  <c r="Y139" i="5" s="1"/>
  <c r="Z138" i="5"/>
  <c r="X138" i="5"/>
  <c r="Y138" i="5" s="1"/>
  <c r="Z137" i="5"/>
  <c r="X137" i="5"/>
  <c r="Y137" i="5" s="1"/>
  <c r="Z136" i="5"/>
  <c r="X136" i="5"/>
  <c r="Y136" i="5" s="1"/>
  <c r="Z135" i="5"/>
  <c r="X135" i="5"/>
  <c r="Y135" i="5" s="1"/>
  <c r="Z134" i="5"/>
  <c r="X134" i="5"/>
  <c r="Y134" i="5" s="1"/>
  <c r="Z133" i="5"/>
  <c r="X133" i="5"/>
  <c r="Y133" i="5" s="1"/>
  <c r="AA132" i="5"/>
  <c r="Z132" i="5"/>
  <c r="AB132" i="5" s="1"/>
  <c r="X132" i="5"/>
  <c r="Y132" i="5" s="1"/>
  <c r="Z131" i="5"/>
  <c r="X131" i="5"/>
  <c r="Y131" i="5" s="1"/>
  <c r="Z130" i="5"/>
  <c r="X130" i="5"/>
  <c r="Y130" i="5" s="1"/>
  <c r="Z129" i="5"/>
  <c r="X129" i="5"/>
  <c r="Y129" i="5" s="1"/>
  <c r="Z128" i="5"/>
  <c r="X128" i="5"/>
  <c r="Y128" i="5" s="1"/>
  <c r="Z127" i="5"/>
  <c r="X127" i="5"/>
  <c r="Y127" i="5" s="1"/>
  <c r="Z126" i="5"/>
  <c r="X126" i="5"/>
  <c r="Y126" i="5" s="1"/>
  <c r="Z125" i="5"/>
  <c r="X125" i="5"/>
  <c r="Y125" i="5" s="1"/>
  <c r="Z124" i="5"/>
  <c r="X124" i="5"/>
  <c r="Y124" i="5" s="1"/>
  <c r="Z123" i="5"/>
  <c r="X123" i="5"/>
  <c r="Y123" i="5" s="1"/>
  <c r="Z122" i="5"/>
  <c r="X122" i="5"/>
  <c r="Y122" i="5" s="1"/>
  <c r="Z121" i="5"/>
  <c r="X121" i="5"/>
  <c r="Y121" i="5" s="1"/>
  <c r="Z120" i="5"/>
  <c r="X120" i="5"/>
  <c r="Y120" i="5" s="1"/>
  <c r="Z119" i="5"/>
  <c r="X119" i="5"/>
  <c r="Y119" i="5" s="1"/>
  <c r="Z118" i="5"/>
  <c r="X118" i="5"/>
  <c r="Y118" i="5" s="1"/>
  <c r="Z117" i="5"/>
  <c r="X117" i="5"/>
  <c r="Y117" i="5" s="1"/>
  <c r="Z116" i="5"/>
  <c r="X116" i="5"/>
  <c r="Y116" i="5" s="1"/>
  <c r="Z115" i="5"/>
  <c r="X115" i="5"/>
  <c r="Y115" i="5" s="1"/>
  <c r="Z114" i="5"/>
  <c r="X114" i="5"/>
  <c r="Y114" i="5" s="1"/>
  <c r="Z113" i="5"/>
  <c r="X113" i="5"/>
  <c r="Y113" i="5" s="1"/>
  <c r="Z112" i="5"/>
  <c r="X112" i="5"/>
  <c r="Y112" i="5" s="1"/>
  <c r="Z111" i="5"/>
  <c r="X111" i="5"/>
  <c r="Y111" i="5" s="1"/>
  <c r="Z110" i="5"/>
  <c r="X110" i="5"/>
  <c r="Y110" i="5" s="1"/>
  <c r="Z109" i="5"/>
  <c r="X109" i="5"/>
  <c r="Y109" i="5" s="1"/>
  <c r="Z108" i="5"/>
  <c r="X108" i="5"/>
  <c r="Y108" i="5" s="1"/>
  <c r="Z107" i="5"/>
  <c r="X107" i="5"/>
  <c r="Y107" i="5" s="1"/>
  <c r="Z106" i="5"/>
  <c r="X106" i="5"/>
  <c r="Y106" i="5" s="1"/>
  <c r="Z105" i="5"/>
  <c r="X105" i="5"/>
  <c r="Y105" i="5" s="1"/>
  <c r="Z104" i="5"/>
  <c r="X104" i="5"/>
  <c r="Y104" i="5" s="1"/>
  <c r="Z103" i="5"/>
  <c r="X103" i="5"/>
  <c r="Y103" i="5" s="1"/>
  <c r="Z102" i="5"/>
  <c r="X102" i="5"/>
  <c r="Y102" i="5" s="1"/>
  <c r="Z101" i="5"/>
  <c r="X101" i="5"/>
  <c r="Y101" i="5" s="1"/>
  <c r="Z100" i="5"/>
  <c r="X100" i="5"/>
  <c r="Y100" i="5" s="1"/>
  <c r="Z99" i="5"/>
  <c r="X99" i="5"/>
  <c r="Y99" i="5" s="1"/>
  <c r="Z98" i="5"/>
  <c r="X98" i="5"/>
  <c r="Y98" i="5" s="1"/>
  <c r="Z97" i="5"/>
  <c r="X97" i="5"/>
  <c r="Y97" i="5" s="1"/>
  <c r="Z96" i="5"/>
  <c r="X96" i="5"/>
  <c r="Y96" i="5" s="1"/>
  <c r="Z95" i="5"/>
  <c r="X95" i="5"/>
  <c r="Y95" i="5" s="1"/>
  <c r="Z94" i="5"/>
  <c r="X94" i="5"/>
  <c r="Y94" i="5" s="1"/>
  <c r="Z93" i="5"/>
  <c r="X93" i="5"/>
  <c r="Y93" i="5" s="1"/>
  <c r="Z92" i="5"/>
  <c r="X92" i="5"/>
  <c r="Y92" i="5" s="1"/>
  <c r="Z91" i="5"/>
  <c r="X91" i="5"/>
  <c r="Y91" i="5" s="1"/>
  <c r="Z90" i="5"/>
  <c r="X90" i="5"/>
  <c r="Y90" i="5" s="1"/>
  <c r="Z89" i="5"/>
  <c r="X89" i="5"/>
  <c r="Y89" i="5" s="1"/>
  <c r="Z88" i="5"/>
  <c r="X88" i="5"/>
  <c r="Y88" i="5" s="1"/>
  <c r="Z87" i="5"/>
  <c r="X87" i="5"/>
  <c r="Y87" i="5" s="1"/>
  <c r="Z86" i="5"/>
  <c r="X86" i="5"/>
  <c r="Y86" i="5" s="1"/>
  <c r="Z85" i="5"/>
  <c r="X85" i="5"/>
  <c r="Y85" i="5" s="1"/>
  <c r="Z84" i="5"/>
  <c r="X84" i="5"/>
  <c r="Y84" i="5" s="1"/>
  <c r="Z83" i="5"/>
  <c r="X83" i="5"/>
  <c r="Y83" i="5" s="1"/>
  <c r="Z82" i="5"/>
  <c r="X82" i="5"/>
  <c r="Y82" i="5" s="1"/>
  <c r="Z81" i="5"/>
  <c r="X81" i="5"/>
  <c r="Y81" i="5" s="1"/>
  <c r="Z80" i="5"/>
  <c r="X80" i="5"/>
  <c r="Y80" i="5" s="1"/>
  <c r="Z79" i="5"/>
  <c r="X79" i="5"/>
  <c r="Y79" i="5" s="1"/>
  <c r="Z78" i="5"/>
  <c r="Y78" i="5"/>
  <c r="X78" i="5"/>
  <c r="Z77" i="5"/>
  <c r="X77" i="5"/>
  <c r="Y77" i="5" s="1"/>
  <c r="Z76" i="5"/>
  <c r="X76" i="5"/>
  <c r="Y76" i="5" s="1"/>
  <c r="Z75" i="5"/>
  <c r="X75" i="5"/>
  <c r="Y75" i="5" s="1"/>
  <c r="AC74" i="5"/>
  <c r="AD74" i="5" s="1"/>
  <c r="Z74" i="5"/>
  <c r="X74" i="5"/>
  <c r="Y74" i="5" s="1"/>
  <c r="Z73" i="5"/>
  <c r="X73" i="5"/>
  <c r="Y73" i="5" s="1"/>
  <c r="Z72" i="5"/>
  <c r="X72" i="5"/>
  <c r="Y72" i="5" s="1"/>
  <c r="Z71" i="5"/>
  <c r="X71" i="5"/>
  <c r="Y71" i="5" s="1"/>
  <c r="Z70" i="5"/>
  <c r="X70" i="5"/>
  <c r="Y70" i="5" s="1"/>
  <c r="Z69" i="5"/>
  <c r="X69" i="5"/>
  <c r="Y69" i="5" s="1"/>
  <c r="Z68" i="5"/>
  <c r="X68" i="5"/>
  <c r="Y68" i="5" s="1"/>
  <c r="Z67" i="5"/>
  <c r="X67" i="5"/>
  <c r="Y67" i="5" s="1"/>
  <c r="Z66" i="5"/>
  <c r="X66" i="5"/>
  <c r="Y66" i="5" s="1"/>
  <c r="Z65" i="5"/>
  <c r="X65" i="5"/>
  <c r="Y65" i="5" s="1"/>
  <c r="Z64" i="5"/>
  <c r="X64" i="5"/>
  <c r="Y64" i="5" s="1"/>
  <c r="Z63" i="5"/>
  <c r="X63" i="5"/>
  <c r="Y63" i="5" s="1"/>
  <c r="Z62" i="5"/>
  <c r="X62" i="5"/>
  <c r="Y62" i="5" s="1"/>
  <c r="Z61" i="5"/>
  <c r="X61" i="5"/>
  <c r="Y61" i="5" s="1"/>
  <c r="Z60" i="5"/>
  <c r="X60" i="5"/>
  <c r="Y60" i="5" s="1"/>
  <c r="Z59" i="5"/>
  <c r="X59" i="5"/>
  <c r="Y59" i="5" s="1"/>
  <c r="Z58" i="5"/>
  <c r="X58" i="5"/>
  <c r="Y58" i="5" s="1"/>
  <c r="Z57" i="5"/>
  <c r="X57" i="5"/>
  <c r="Y57" i="5" s="1"/>
  <c r="Z56" i="5"/>
  <c r="X56" i="5"/>
  <c r="Y56" i="5" s="1"/>
  <c r="Z55" i="5"/>
  <c r="X55" i="5"/>
  <c r="Y55" i="5" s="1"/>
  <c r="Z54" i="5"/>
  <c r="X54" i="5"/>
  <c r="Y54" i="5" s="1"/>
  <c r="Z53" i="5"/>
  <c r="X53" i="5"/>
  <c r="Y53" i="5" s="1"/>
  <c r="Z52" i="5"/>
  <c r="X52" i="5"/>
  <c r="Y52" i="5" s="1"/>
  <c r="Z51" i="5"/>
  <c r="X51" i="5"/>
  <c r="Y51" i="5" s="1"/>
  <c r="Z50" i="5"/>
  <c r="X50" i="5"/>
  <c r="Y50" i="5" s="1"/>
  <c r="Z49" i="5"/>
  <c r="X49" i="5"/>
  <c r="Y49" i="5" s="1"/>
  <c r="Z48" i="5"/>
  <c r="X48" i="5"/>
  <c r="Y48" i="5" s="1"/>
  <c r="Z47" i="5"/>
  <c r="X47" i="5"/>
  <c r="Y47" i="5" s="1"/>
  <c r="Z46" i="5"/>
  <c r="X46" i="5"/>
  <c r="Y46" i="5" s="1"/>
  <c r="Z45" i="5"/>
  <c r="X45" i="5"/>
  <c r="Y45" i="5" s="1"/>
  <c r="Z44" i="5"/>
  <c r="X44" i="5"/>
  <c r="Y44" i="5" s="1"/>
  <c r="Z43" i="5"/>
  <c r="X43" i="5"/>
  <c r="Y43" i="5" s="1"/>
  <c r="Z42" i="5"/>
  <c r="X42" i="5"/>
  <c r="Y42" i="5" s="1"/>
  <c r="Z41" i="5"/>
  <c r="X41" i="5"/>
  <c r="Y41" i="5" s="1"/>
  <c r="Z40" i="5"/>
  <c r="X40" i="5"/>
  <c r="Y40" i="5" s="1"/>
  <c r="Z39" i="5"/>
  <c r="X39" i="5"/>
  <c r="Y39" i="5" s="1"/>
  <c r="Z38" i="5"/>
  <c r="X38" i="5"/>
  <c r="Y38" i="5" s="1"/>
  <c r="Z37" i="5"/>
  <c r="X37" i="5"/>
  <c r="Y37" i="5" s="1"/>
  <c r="Z36" i="5"/>
  <c r="X36" i="5"/>
  <c r="Y36" i="5" s="1"/>
  <c r="Z35" i="5"/>
  <c r="X35" i="5"/>
  <c r="Y35" i="5" s="1"/>
  <c r="Z34" i="5"/>
  <c r="X34" i="5"/>
  <c r="Y34" i="5" s="1"/>
  <c r="Z33" i="5"/>
  <c r="X33" i="5"/>
  <c r="Y33" i="5" s="1"/>
  <c r="Z32" i="5"/>
  <c r="X32" i="5"/>
  <c r="Y32" i="5" s="1"/>
  <c r="Z31" i="5"/>
  <c r="X31" i="5"/>
  <c r="Y31" i="5" s="1"/>
  <c r="Z30" i="5"/>
  <c r="X30" i="5"/>
  <c r="Y30" i="5" s="1"/>
  <c r="Z29" i="5"/>
  <c r="X29" i="5"/>
  <c r="Y29" i="5" s="1"/>
  <c r="Z28" i="5"/>
  <c r="X28" i="5"/>
  <c r="Y28" i="5" s="1"/>
  <c r="Z27" i="5"/>
  <c r="X27" i="5"/>
  <c r="Y27" i="5" s="1"/>
  <c r="Z26" i="5"/>
  <c r="X26" i="5"/>
  <c r="Y26" i="5" s="1"/>
  <c r="Z25" i="5"/>
  <c r="X25" i="5"/>
  <c r="Y25" i="5" s="1"/>
  <c r="Z24" i="5"/>
  <c r="X24" i="5"/>
  <c r="Y24" i="5" s="1"/>
  <c r="Z23" i="5"/>
  <c r="X23" i="5"/>
  <c r="Y23" i="5" s="1"/>
  <c r="Z22" i="5"/>
  <c r="X22" i="5"/>
  <c r="Y22" i="5" s="1"/>
  <c r="Z21" i="5"/>
  <c r="X21" i="5"/>
  <c r="Y21" i="5" s="1"/>
  <c r="Z20" i="5"/>
  <c r="X20" i="5"/>
  <c r="Y20" i="5" s="1"/>
  <c r="Z19" i="5"/>
  <c r="X19" i="5"/>
  <c r="Y19" i="5" s="1"/>
  <c r="Z18" i="5"/>
  <c r="X18" i="5"/>
  <c r="Y18" i="5" s="1"/>
  <c r="Z17" i="5"/>
  <c r="X17" i="5"/>
  <c r="Y17" i="5" s="1"/>
  <c r="Z16" i="5"/>
  <c r="X16" i="5"/>
  <c r="Y16" i="5" s="1"/>
  <c r="Z15" i="5"/>
  <c r="X15" i="5"/>
  <c r="Y15" i="5" s="1"/>
  <c r="Z14" i="5"/>
  <c r="X14" i="5"/>
  <c r="Y14" i="5" s="1"/>
  <c r="Z13" i="5"/>
  <c r="X13" i="5"/>
  <c r="Y13" i="5" s="1"/>
  <c r="Z12" i="5"/>
  <c r="X12" i="5"/>
  <c r="Y12" i="5" s="1"/>
  <c r="Z11" i="5"/>
  <c r="X11" i="5"/>
  <c r="Z10" i="5"/>
  <c r="X10" i="5"/>
  <c r="Y10" i="5" s="1"/>
  <c r="Z9" i="5"/>
  <c r="X9" i="5"/>
  <c r="Z8" i="5"/>
  <c r="X8" i="5"/>
  <c r="Y8" i="5" s="1"/>
  <c r="Z7" i="5"/>
  <c r="X7" i="5"/>
  <c r="Y7" i="5" s="1"/>
  <c r="Z6" i="5"/>
  <c r="X6" i="5"/>
  <c r="Y6" i="5" s="1"/>
  <c r="Z5" i="5"/>
  <c r="X5" i="5"/>
  <c r="Y5" i="5" s="1"/>
  <c r="Z4" i="5"/>
  <c r="X4" i="5"/>
  <c r="Z3" i="5"/>
  <c r="X3" i="5"/>
  <c r="Z2" i="5"/>
  <c r="X2" i="5"/>
  <c r="AA240" i="5" l="1"/>
  <c r="AB240" i="5"/>
  <c r="AA239" i="5"/>
  <c r="AB239" i="5"/>
  <c r="AB238" i="5"/>
  <c r="AA238" i="5"/>
  <c r="AB237" i="5"/>
  <c r="AA237" i="5"/>
  <c r="AA236" i="5"/>
  <c r="AB236" i="5"/>
  <c r="AB235" i="5"/>
  <c r="AA235" i="5"/>
  <c r="AB234" i="5"/>
  <c r="AA234" i="5"/>
  <c r="AB233" i="5"/>
  <c r="AA233" i="5"/>
  <c r="AA232" i="5"/>
  <c r="AB232" i="5"/>
  <c r="AA231" i="5"/>
  <c r="AB231" i="5"/>
  <c r="AA230" i="5"/>
  <c r="AB230" i="5"/>
  <c r="AB229" i="5"/>
  <c r="AA229" i="5"/>
  <c r="AB228" i="5"/>
  <c r="AA228" i="5"/>
  <c r="Y228" i="5"/>
  <c r="F8" i="6" s="1"/>
  <c r="E8" i="6"/>
  <c r="AB227" i="5"/>
  <c r="AA227" i="5"/>
  <c r="AA226" i="5"/>
  <c r="AB226" i="5"/>
  <c r="AB225" i="5"/>
  <c r="AA225" i="5"/>
  <c r="AA224" i="5"/>
  <c r="AB224" i="5"/>
  <c r="AB223" i="5"/>
  <c r="AA223" i="5"/>
  <c r="AB222" i="5"/>
  <c r="AA222" i="5"/>
  <c r="AA221" i="5"/>
  <c r="AB221" i="5"/>
  <c r="AB220" i="5"/>
  <c r="AA220" i="5"/>
  <c r="AA219" i="5"/>
  <c r="AB219" i="5"/>
  <c r="AB218" i="5"/>
  <c r="AA218" i="5"/>
  <c r="AA217" i="5"/>
  <c r="AB217" i="5"/>
  <c r="AB216" i="5"/>
  <c r="AA216" i="5"/>
  <c r="AA215" i="5"/>
  <c r="AB215" i="5"/>
  <c r="AB214" i="5"/>
  <c r="AA214" i="5"/>
  <c r="AB213" i="5"/>
  <c r="AA213" i="5"/>
  <c r="AA212" i="5"/>
  <c r="AB212" i="5"/>
  <c r="AA211" i="5"/>
  <c r="AB211" i="5"/>
  <c r="AA210" i="5"/>
  <c r="AB210" i="5"/>
  <c r="AB209" i="5"/>
  <c r="AA209" i="5"/>
  <c r="AB208" i="5"/>
  <c r="AA208" i="5"/>
  <c r="AA207" i="5"/>
  <c r="AB207" i="5"/>
  <c r="AB205" i="5"/>
  <c r="AA205" i="5"/>
  <c r="AA204" i="5"/>
  <c r="AB204" i="5"/>
  <c r="AB203" i="5"/>
  <c r="AA203" i="5"/>
  <c r="AB202" i="5"/>
  <c r="AA202" i="5"/>
  <c r="AA201" i="5"/>
  <c r="AB201" i="5"/>
  <c r="AA200" i="5"/>
  <c r="AB200" i="5"/>
  <c r="AB199" i="5"/>
  <c r="AA199" i="5"/>
  <c r="AB198" i="5"/>
  <c r="AA198" i="5"/>
  <c r="AB197" i="5"/>
  <c r="AA197" i="5"/>
  <c r="AA196" i="5"/>
  <c r="AB196" i="5"/>
  <c r="AB195" i="5"/>
  <c r="AA195" i="5"/>
  <c r="AB194" i="5"/>
  <c r="AA194" i="5"/>
  <c r="AA193" i="5"/>
  <c r="AB193" i="5"/>
  <c r="AB192" i="5"/>
  <c r="AA192" i="5"/>
  <c r="AA191" i="5"/>
  <c r="AB191" i="5"/>
  <c r="AA190" i="5"/>
  <c r="AB190" i="5"/>
  <c r="AB189" i="5"/>
  <c r="AA189" i="5"/>
  <c r="AA188" i="5"/>
  <c r="AB188" i="5"/>
  <c r="AA187" i="5"/>
  <c r="AB187" i="5"/>
  <c r="AB185" i="5"/>
  <c r="AA185" i="5"/>
  <c r="AA184" i="5"/>
  <c r="AB184" i="5"/>
  <c r="AB183" i="5"/>
  <c r="AA183" i="5"/>
  <c r="AA182" i="5"/>
  <c r="AB182" i="5"/>
  <c r="AA181" i="5"/>
  <c r="AB181" i="5"/>
  <c r="AA180" i="5"/>
  <c r="AB180" i="5"/>
  <c r="AB179" i="5"/>
  <c r="AA179" i="5"/>
  <c r="AA178" i="5"/>
  <c r="AB178" i="5"/>
  <c r="AB177" i="5"/>
  <c r="AA177" i="5"/>
  <c r="AB176" i="5"/>
  <c r="AA176" i="5"/>
  <c r="AB175" i="5"/>
  <c r="AA175" i="5"/>
  <c r="AA174" i="5"/>
  <c r="AB174" i="5"/>
  <c r="AB173" i="5"/>
  <c r="AA173" i="5"/>
  <c r="AB172" i="5"/>
  <c r="AA172" i="5"/>
  <c r="AB171" i="5"/>
  <c r="AA171" i="5"/>
  <c r="AB170" i="5"/>
  <c r="AA170" i="5"/>
  <c r="AB169" i="5"/>
  <c r="AA169" i="5"/>
  <c r="AA168" i="5"/>
  <c r="AB168" i="5"/>
  <c r="AA166" i="5"/>
  <c r="AB166" i="5"/>
  <c r="AA165" i="5"/>
  <c r="AB165" i="5"/>
  <c r="AA164" i="5"/>
  <c r="AB164" i="5"/>
  <c r="AB163" i="5"/>
  <c r="AA163" i="5"/>
  <c r="AB162" i="5"/>
  <c r="AA162" i="5"/>
  <c r="AA161" i="5"/>
  <c r="AB161" i="5"/>
  <c r="AA160" i="5"/>
  <c r="AB160" i="5"/>
  <c r="AA159" i="5"/>
  <c r="AB159" i="5"/>
  <c r="AB158" i="5"/>
  <c r="AA158" i="5"/>
  <c r="AB157" i="5"/>
  <c r="AA157" i="5"/>
  <c r="AA156" i="5"/>
  <c r="AB156" i="5"/>
  <c r="AA155" i="5"/>
  <c r="AB155" i="5"/>
  <c r="AA154" i="5"/>
  <c r="AB154" i="5"/>
  <c r="AA153" i="5"/>
  <c r="AB153" i="5"/>
  <c r="AB152" i="5"/>
  <c r="AA152" i="5"/>
  <c r="AA151" i="5"/>
  <c r="AB151" i="5"/>
  <c r="AB150" i="5"/>
  <c r="AA150" i="5"/>
  <c r="AA149" i="5"/>
  <c r="AB149" i="5"/>
  <c r="AB148" i="5"/>
  <c r="AA148" i="5"/>
  <c r="AB147" i="5"/>
  <c r="AA147" i="5"/>
  <c r="AA146" i="5"/>
  <c r="AB146" i="5"/>
  <c r="AB145" i="5"/>
  <c r="AA145" i="5"/>
  <c r="AB144" i="5"/>
  <c r="AA144" i="5"/>
  <c r="AB143" i="5"/>
  <c r="AA143" i="5"/>
  <c r="AB142" i="5"/>
  <c r="AA142" i="5"/>
  <c r="AB141" i="5"/>
  <c r="AA141" i="5"/>
  <c r="AB140" i="5"/>
  <c r="AA140" i="5"/>
  <c r="AA139" i="5"/>
  <c r="AB139" i="5"/>
  <c r="AA138" i="5"/>
  <c r="AB138" i="5"/>
  <c r="AA137" i="5"/>
  <c r="AB137" i="5"/>
  <c r="AB136" i="5"/>
  <c r="AA136" i="5"/>
  <c r="AA135" i="5"/>
  <c r="AB135" i="5"/>
  <c r="AB134" i="5"/>
  <c r="AA134" i="5"/>
  <c r="AA133" i="5"/>
  <c r="AB133" i="5"/>
  <c r="AB131" i="5"/>
  <c r="AA131" i="5"/>
  <c r="AA130" i="5"/>
  <c r="AB130" i="5"/>
  <c r="AA129" i="5"/>
  <c r="AB129" i="5"/>
  <c r="AA128" i="5"/>
  <c r="AB128" i="5"/>
  <c r="AA127" i="5"/>
  <c r="AB127" i="5"/>
  <c r="AB126" i="5"/>
  <c r="AA126" i="5"/>
  <c r="AA125" i="5"/>
  <c r="AB125" i="5"/>
  <c r="AB124" i="5"/>
  <c r="AA124" i="5"/>
  <c r="AA123" i="5"/>
  <c r="AB123" i="5"/>
  <c r="AB122" i="5"/>
  <c r="AA122" i="5"/>
  <c r="AB121" i="5"/>
  <c r="AA121" i="5"/>
  <c r="AA120" i="5"/>
  <c r="AB120" i="5"/>
  <c r="AA119" i="5"/>
  <c r="AB119" i="5"/>
  <c r="AA118" i="5"/>
  <c r="AB118" i="5"/>
  <c r="AA117" i="5"/>
  <c r="AB117" i="5"/>
  <c r="AB116" i="5"/>
  <c r="AA116" i="5"/>
  <c r="AA115" i="5"/>
  <c r="AB115" i="5"/>
  <c r="AB114" i="5"/>
  <c r="AA114" i="5"/>
  <c r="AA113" i="5"/>
  <c r="AB113" i="5"/>
  <c r="AB112" i="5"/>
  <c r="AA112" i="5"/>
  <c r="AB111" i="5"/>
  <c r="AA111" i="5"/>
  <c r="AA110" i="5"/>
  <c r="AB110" i="5"/>
  <c r="AB109" i="5"/>
  <c r="AA109" i="5"/>
  <c r="AB108" i="5"/>
  <c r="AA108" i="5"/>
  <c r="AA107" i="5"/>
  <c r="AB107" i="5"/>
  <c r="AA106" i="5"/>
  <c r="AB106" i="5"/>
  <c r="AA105" i="5"/>
  <c r="AB105" i="5"/>
  <c r="AB104" i="5"/>
  <c r="AA104" i="5"/>
  <c r="AB103" i="5"/>
  <c r="AA103" i="5"/>
  <c r="AA102" i="5"/>
  <c r="AB102" i="5"/>
  <c r="AA101" i="5"/>
  <c r="AB101" i="5"/>
  <c r="AA100" i="5"/>
  <c r="AB100" i="5"/>
  <c r="AA99" i="5"/>
  <c r="AB99" i="5"/>
  <c r="AA98" i="5"/>
  <c r="AB98" i="5"/>
  <c r="AB97" i="5"/>
  <c r="AA97" i="5"/>
  <c r="AA96" i="5"/>
  <c r="AB96" i="5"/>
  <c r="AB95" i="5"/>
  <c r="AA95" i="5"/>
  <c r="AB94" i="5"/>
  <c r="AA94" i="5"/>
  <c r="AB93" i="5"/>
  <c r="AA93" i="5"/>
  <c r="AB92" i="5"/>
  <c r="AA92" i="5"/>
  <c r="AB91" i="5"/>
  <c r="AA91" i="5"/>
  <c r="AB90" i="5"/>
  <c r="AA90" i="5"/>
  <c r="AA89" i="5"/>
  <c r="AB89" i="5"/>
  <c r="AA88" i="5"/>
  <c r="AB88" i="5"/>
  <c r="AA87" i="5"/>
  <c r="AB87" i="5"/>
  <c r="AA86" i="5"/>
  <c r="AB86" i="5"/>
  <c r="AB85" i="5"/>
  <c r="AA85" i="5"/>
  <c r="AA84" i="5"/>
  <c r="AB84" i="5"/>
  <c r="AB83" i="5"/>
  <c r="AA83" i="5"/>
  <c r="AB82" i="5"/>
  <c r="AA82" i="5"/>
  <c r="AB81" i="5"/>
  <c r="AA81" i="5"/>
  <c r="AB80" i="5"/>
  <c r="AA80" i="5"/>
  <c r="AB79" i="5"/>
  <c r="AA79" i="5"/>
  <c r="AB78" i="5"/>
  <c r="AA78" i="5"/>
  <c r="AA77" i="5"/>
  <c r="AB77" i="5"/>
  <c r="AB76" i="5"/>
  <c r="AA76" i="5"/>
  <c r="AA75" i="5"/>
  <c r="AB75" i="5"/>
  <c r="AA74" i="5"/>
  <c r="AB74" i="5"/>
  <c r="AA73" i="5"/>
  <c r="AB73" i="5"/>
  <c r="AA72" i="5"/>
  <c r="AB72" i="5"/>
  <c r="AA71" i="5"/>
  <c r="AB71" i="5"/>
  <c r="AB70" i="5"/>
  <c r="AA70" i="5"/>
  <c r="AB69" i="5"/>
  <c r="AA69" i="5"/>
  <c r="AB68" i="5"/>
  <c r="AA68" i="5"/>
  <c r="AB67" i="5"/>
  <c r="AA67" i="5"/>
  <c r="AB66" i="5"/>
  <c r="AA66" i="5"/>
  <c r="AB65" i="5"/>
  <c r="AA65" i="5"/>
  <c r="AB64" i="5"/>
  <c r="AA64" i="5"/>
  <c r="AB63" i="5"/>
  <c r="AA63" i="5"/>
  <c r="AA62" i="5"/>
  <c r="AB62" i="5"/>
  <c r="AA61" i="5"/>
  <c r="AB61" i="5"/>
  <c r="AA60" i="5"/>
  <c r="AB60" i="5"/>
  <c r="AA59" i="5"/>
  <c r="AB59" i="5"/>
  <c r="AB58" i="5"/>
  <c r="AA58" i="5"/>
  <c r="AB57" i="5"/>
  <c r="AA57" i="5"/>
  <c r="AB56" i="5"/>
  <c r="AA56" i="5"/>
  <c r="AB55" i="5"/>
  <c r="AA55" i="5"/>
  <c r="AB54" i="5"/>
  <c r="AA54" i="5"/>
  <c r="AB53" i="5"/>
  <c r="AA53" i="5"/>
  <c r="AA52" i="5"/>
  <c r="AB52" i="5"/>
  <c r="AB51" i="5"/>
  <c r="AA51" i="5"/>
  <c r="AB50" i="5"/>
  <c r="AA50" i="5"/>
  <c r="AB49" i="5"/>
  <c r="AA49" i="5"/>
  <c r="AB48" i="5"/>
  <c r="AA48" i="5"/>
  <c r="AA47" i="5"/>
  <c r="AB47" i="5"/>
  <c r="AA46" i="5"/>
  <c r="AB46" i="5"/>
  <c r="AB45" i="5"/>
  <c r="AA45" i="5"/>
  <c r="AA44" i="5"/>
  <c r="AB44" i="5"/>
  <c r="AA43" i="5"/>
  <c r="AB43" i="5"/>
  <c r="AA42" i="5"/>
  <c r="AB42" i="5"/>
  <c r="AA41" i="5"/>
  <c r="AB41" i="5"/>
  <c r="AA40" i="5"/>
  <c r="AB40" i="5"/>
  <c r="AA39" i="5"/>
  <c r="AB39" i="5"/>
  <c r="AA38" i="5"/>
  <c r="AB38" i="5"/>
  <c r="AA37" i="5"/>
  <c r="AB37" i="5"/>
  <c r="AB36" i="5"/>
  <c r="AA36" i="5"/>
  <c r="AB35" i="5"/>
  <c r="AA35" i="5"/>
  <c r="AB34" i="5"/>
  <c r="AA34" i="5"/>
  <c r="AB33" i="5"/>
  <c r="AA33" i="5"/>
  <c r="AB32" i="5"/>
  <c r="AA32" i="5"/>
  <c r="AB31" i="5"/>
  <c r="AA31" i="5"/>
  <c r="AB30" i="5"/>
  <c r="AA30" i="5"/>
  <c r="AA29" i="5"/>
  <c r="AB29" i="5"/>
  <c r="AA28" i="5"/>
  <c r="AB28" i="5"/>
  <c r="AB27" i="5"/>
  <c r="AA27" i="5"/>
  <c r="AB26" i="5"/>
  <c r="AA26" i="5"/>
  <c r="AA25" i="5"/>
  <c r="AB25" i="5"/>
  <c r="AB24" i="5"/>
  <c r="AA24" i="5"/>
  <c r="AA23" i="5"/>
  <c r="AB23" i="5"/>
  <c r="AA22" i="5"/>
  <c r="AB22" i="5"/>
  <c r="AA21" i="5"/>
  <c r="AB21" i="5"/>
  <c r="AA20" i="5"/>
  <c r="AB20" i="5"/>
  <c r="AA19" i="5"/>
  <c r="AB19" i="5"/>
  <c r="AA18" i="5"/>
  <c r="AB18" i="5"/>
  <c r="AB17" i="5"/>
  <c r="AA17" i="5"/>
  <c r="AB16" i="5"/>
  <c r="AA16" i="5"/>
  <c r="AB15" i="5"/>
  <c r="AA15" i="5"/>
  <c r="AB14" i="5"/>
  <c r="AA14" i="5"/>
  <c r="AB13" i="5"/>
  <c r="AA13" i="5"/>
  <c r="AB12" i="5"/>
  <c r="AA12" i="5"/>
  <c r="AB11" i="5"/>
  <c r="AA11" i="5"/>
  <c r="Y11" i="5"/>
  <c r="F7" i="6" s="1"/>
  <c r="E7" i="6"/>
  <c r="AA10" i="5"/>
  <c r="AB10" i="5"/>
  <c r="AB9" i="5"/>
  <c r="AA9" i="5"/>
  <c r="Y9" i="5"/>
  <c r="F9" i="6" s="1"/>
  <c r="E9" i="6"/>
  <c r="AB8" i="5"/>
  <c r="AA8" i="5"/>
  <c r="AB7" i="5"/>
  <c r="AA7" i="5"/>
  <c r="AB6" i="5"/>
  <c r="AA6" i="5"/>
  <c r="AA5" i="5"/>
  <c r="AB5" i="5"/>
  <c r="AA4" i="5"/>
  <c r="AB4" i="5"/>
  <c r="E4" i="6"/>
  <c r="Y4" i="5"/>
  <c r="F4" i="6" s="1"/>
  <c r="AA3" i="5"/>
  <c r="AB3" i="5"/>
  <c r="Y3" i="5"/>
  <c r="F6" i="6" s="1"/>
  <c r="E6" i="6"/>
  <c r="AA2" i="5"/>
  <c r="AB2" i="5"/>
  <c r="Y2" i="5"/>
  <c r="F5" i="6" s="1"/>
  <c r="E5" i="6"/>
  <c r="AC167" i="5" l="1"/>
  <c r="AD167" i="5" s="1"/>
  <c r="AC206" i="5"/>
  <c r="AD206" i="5" s="1"/>
  <c r="AC132" i="5"/>
  <c r="AD132" i="5" s="1"/>
  <c r="AC186" i="5"/>
  <c r="AD186" i="5" s="1"/>
  <c r="AC2" i="5"/>
  <c r="AC240" i="5"/>
  <c r="AD240" i="5" s="1"/>
  <c r="AC239" i="5"/>
  <c r="AD239" i="5" s="1"/>
  <c r="AC238" i="5"/>
  <c r="AD238" i="5" s="1"/>
  <c r="AC237" i="5"/>
  <c r="AD237" i="5" s="1"/>
  <c r="AC236" i="5"/>
  <c r="AD236" i="5" s="1"/>
  <c r="AC235" i="5"/>
  <c r="AD235" i="5" s="1"/>
  <c r="AC234" i="5"/>
  <c r="AD234" i="5" s="1"/>
  <c r="AC233" i="5"/>
  <c r="AD233" i="5" s="1"/>
  <c r="AC232" i="5"/>
  <c r="AD232" i="5" s="1"/>
  <c r="AC231" i="5"/>
  <c r="AD231" i="5" s="1"/>
  <c r="AC229" i="5"/>
  <c r="AD229" i="5" s="1"/>
  <c r="AC228" i="5"/>
  <c r="AD228" i="5" s="1"/>
  <c r="AC227" i="5"/>
  <c r="AD227" i="5" s="1"/>
  <c r="AC226" i="5"/>
  <c r="AD226" i="5" s="1"/>
  <c r="AC225" i="5"/>
  <c r="AD225" i="5" s="1"/>
  <c r="AC224" i="5"/>
  <c r="AD224" i="5" s="1"/>
  <c r="AC223" i="5"/>
  <c r="AD223" i="5" s="1"/>
  <c r="AC222" i="5"/>
  <c r="AD222" i="5" s="1"/>
  <c r="AC221" i="5"/>
  <c r="AD221" i="5" s="1"/>
  <c r="AC220" i="5"/>
  <c r="AD220" i="5" s="1"/>
  <c r="AC219" i="5"/>
  <c r="AD219" i="5" s="1"/>
  <c r="AC218" i="5"/>
  <c r="AD218" i="5" s="1"/>
  <c r="AC217" i="5"/>
  <c r="AD217" i="5" s="1"/>
  <c r="AC216" i="5"/>
  <c r="AD216" i="5" s="1"/>
  <c r="AC215" i="5"/>
  <c r="AD215" i="5" s="1"/>
  <c r="AC214" i="5"/>
  <c r="AD214" i="5" s="1"/>
  <c r="AC213" i="5"/>
  <c r="AD213" i="5" s="1"/>
  <c r="AC212" i="5"/>
  <c r="AD212" i="5" s="1"/>
  <c r="AC211" i="5"/>
  <c r="AD211" i="5" s="1"/>
  <c r="AC210" i="5"/>
  <c r="AD210" i="5" s="1"/>
  <c r="AC209" i="5"/>
  <c r="AD209" i="5" s="1"/>
  <c r="AC208" i="5"/>
  <c r="AD208" i="5" s="1"/>
  <c r="AC207" i="5"/>
  <c r="AD207" i="5" s="1"/>
  <c r="AC205" i="5"/>
  <c r="AD205" i="5" s="1"/>
  <c r="AC204" i="5"/>
  <c r="AD204" i="5" s="1"/>
  <c r="AC203" i="5"/>
  <c r="AD203" i="5" s="1"/>
  <c r="AC202" i="5"/>
  <c r="AD202" i="5" s="1"/>
  <c r="AC201" i="5"/>
  <c r="AD201" i="5" s="1"/>
  <c r="AC200" i="5"/>
  <c r="AD200" i="5" s="1"/>
  <c r="AC199" i="5"/>
  <c r="AD199" i="5" s="1"/>
  <c r="AC198" i="5"/>
  <c r="AD198" i="5" s="1"/>
  <c r="AC197" i="5"/>
  <c r="AD197" i="5" s="1"/>
  <c r="AC196" i="5"/>
  <c r="AD196" i="5" s="1"/>
  <c r="AC195" i="5"/>
  <c r="AD195" i="5" s="1"/>
  <c r="AC194" i="5"/>
  <c r="AD194" i="5" s="1"/>
  <c r="AC193" i="5"/>
  <c r="AD193" i="5" s="1"/>
  <c r="AC192" i="5"/>
  <c r="AD192" i="5" s="1"/>
  <c r="AC191" i="5"/>
  <c r="AD191" i="5" s="1"/>
  <c r="AC190" i="5"/>
  <c r="AD190" i="5" s="1"/>
  <c r="AC189" i="5"/>
  <c r="AD189" i="5" s="1"/>
  <c r="AC188" i="5"/>
  <c r="AD188" i="5" s="1"/>
  <c r="AC8" i="5"/>
  <c r="AD8" i="5" s="1"/>
  <c r="AC7" i="5"/>
  <c r="AD7" i="5" s="1"/>
  <c r="AC6" i="5"/>
  <c r="AD6" i="5" s="1"/>
  <c r="AC5" i="5"/>
  <c r="AD5" i="5" s="1"/>
  <c r="AC4" i="5"/>
  <c r="AD4" i="5" s="1"/>
  <c r="AC3" i="5"/>
  <c r="AD3" i="5" s="1"/>
  <c r="AC187" i="5"/>
  <c r="AD187" i="5" s="1"/>
  <c r="AC185" i="5"/>
  <c r="AD185" i="5" s="1"/>
  <c r="AC184" i="5"/>
  <c r="AD184" i="5" s="1"/>
  <c r="AC183" i="5"/>
  <c r="AD183" i="5" s="1"/>
  <c r="AC182" i="5"/>
  <c r="AD182" i="5" s="1"/>
  <c r="AC181" i="5"/>
  <c r="AD181" i="5" s="1"/>
  <c r="AC180" i="5"/>
  <c r="AD180" i="5" s="1"/>
  <c r="AC179" i="5"/>
  <c r="AD179" i="5" s="1"/>
  <c r="AC178" i="5"/>
  <c r="AD178" i="5" s="1"/>
  <c r="AC177" i="5"/>
  <c r="AD177" i="5" s="1"/>
  <c r="AC176" i="5"/>
  <c r="AD176" i="5" s="1"/>
  <c r="AC175" i="5"/>
  <c r="AD175" i="5" s="1"/>
  <c r="AC174" i="5"/>
  <c r="AD174" i="5" s="1"/>
  <c r="AC173" i="5"/>
  <c r="AD173" i="5" s="1"/>
  <c r="AC172" i="5"/>
  <c r="AD172" i="5" s="1"/>
  <c r="AC171" i="5"/>
  <c r="AD171" i="5" s="1"/>
  <c r="AC170" i="5"/>
  <c r="AD170" i="5" s="1"/>
  <c r="AC169" i="5"/>
  <c r="AD169" i="5" s="1"/>
  <c r="AC168" i="5"/>
  <c r="AD168" i="5" s="1"/>
  <c r="AC166" i="5"/>
  <c r="AD166" i="5" s="1"/>
  <c r="AC165" i="5"/>
  <c r="AD165" i="5" s="1"/>
  <c r="AC164" i="5"/>
  <c r="AD164" i="5" s="1"/>
  <c r="AC163" i="5"/>
  <c r="AD163" i="5" s="1"/>
  <c r="AC162" i="5"/>
  <c r="AD162" i="5" s="1"/>
  <c r="AC161" i="5"/>
  <c r="AD161" i="5" s="1"/>
  <c r="AC160" i="5"/>
  <c r="AD160" i="5" s="1"/>
  <c r="AC159" i="5"/>
  <c r="AD159" i="5" s="1"/>
  <c r="AC158" i="5"/>
  <c r="AD158" i="5" s="1"/>
  <c r="AC157" i="5"/>
  <c r="AD157" i="5" s="1"/>
  <c r="AC156" i="5"/>
  <c r="AD156" i="5" s="1"/>
  <c r="AC155" i="5"/>
  <c r="AD155" i="5" s="1"/>
  <c r="AC154" i="5"/>
  <c r="AD154" i="5" s="1"/>
  <c r="AC153" i="5"/>
  <c r="AD153" i="5" s="1"/>
  <c r="AC152" i="5"/>
  <c r="AD152" i="5" s="1"/>
  <c r="AC151" i="5"/>
  <c r="AD151" i="5" s="1"/>
  <c r="AC150" i="5"/>
  <c r="AD150" i="5" s="1"/>
  <c r="AC149" i="5"/>
  <c r="AD149" i="5" s="1"/>
  <c r="AC148" i="5"/>
  <c r="AD148" i="5" s="1"/>
  <c r="AC147" i="5"/>
  <c r="AD147" i="5" s="1"/>
  <c r="AC146" i="5"/>
  <c r="AD146" i="5" s="1"/>
  <c r="AC145" i="5"/>
  <c r="AD145" i="5" s="1"/>
  <c r="AC144" i="5"/>
  <c r="AD144" i="5" s="1"/>
  <c r="AC143" i="5"/>
  <c r="AD143" i="5" s="1"/>
  <c r="AC142" i="5"/>
  <c r="AD142" i="5" s="1"/>
  <c r="AC141" i="5"/>
  <c r="AD141" i="5" s="1"/>
  <c r="AC140" i="5"/>
  <c r="AD140" i="5" s="1"/>
  <c r="AC139" i="5"/>
  <c r="AD139" i="5" s="1"/>
  <c r="AC138" i="5"/>
  <c r="AD138" i="5" s="1"/>
  <c r="AC137" i="5"/>
  <c r="AD137" i="5" s="1"/>
  <c r="AC136" i="5"/>
  <c r="AD136" i="5" s="1"/>
  <c r="AC135" i="5"/>
  <c r="AD135" i="5" s="1"/>
  <c r="AC134" i="5"/>
  <c r="AD134" i="5" s="1"/>
  <c r="AC133" i="5"/>
  <c r="AD133" i="5" s="1"/>
  <c r="AC11" i="5"/>
  <c r="AD11" i="5" s="1"/>
  <c r="AC10" i="5"/>
  <c r="AD10" i="5" s="1"/>
  <c r="AC131" i="5"/>
  <c r="AD131" i="5" s="1"/>
  <c r="AC130" i="5"/>
  <c r="AD130" i="5" s="1"/>
  <c r="AC129" i="5"/>
  <c r="AD129" i="5" s="1"/>
  <c r="AC128" i="5"/>
  <c r="AD128" i="5" s="1"/>
  <c r="AC127" i="5"/>
  <c r="AD127" i="5" s="1"/>
  <c r="AC126" i="5"/>
  <c r="AD126" i="5" s="1"/>
  <c r="AC125" i="5"/>
  <c r="AD125" i="5" s="1"/>
  <c r="AC124" i="5"/>
  <c r="AD124" i="5" s="1"/>
  <c r="AC123" i="5"/>
  <c r="AD123" i="5" s="1"/>
  <c r="AC122" i="5"/>
  <c r="AD122" i="5" s="1"/>
  <c r="AC121" i="5"/>
  <c r="AD121" i="5" s="1"/>
  <c r="AC120" i="5"/>
  <c r="AD120" i="5" s="1"/>
  <c r="AC119" i="5"/>
  <c r="AD119" i="5" s="1"/>
  <c r="AC117" i="5"/>
  <c r="AD117" i="5" s="1"/>
  <c r="AC116" i="5"/>
  <c r="AD116" i="5" s="1"/>
  <c r="AC115" i="5"/>
  <c r="AD115" i="5" s="1"/>
  <c r="AC114" i="5"/>
  <c r="AD114" i="5" s="1"/>
  <c r="AC113" i="5"/>
  <c r="AD113" i="5" s="1"/>
  <c r="AC112" i="5"/>
  <c r="AD112" i="5" s="1"/>
  <c r="AC111" i="5"/>
  <c r="AD111" i="5" s="1"/>
  <c r="AC110" i="5"/>
  <c r="AD110" i="5" s="1"/>
  <c r="AC108" i="5"/>
  <c r="AD108" i="5" s="1"/>
  <c r="AC107" i="5"/>
  <c r="AD107" i="5" s="1"/>
  <c r="AC106" i="5"/>
  <c r="AD106" i="5" s="1"/>
  <c r="AC43" i="5"/>
  <c r="AD43" i="5" s="1"/>
  <c r="AC39" i="5"/>
  <c r="AD39" i="5" s="1"/>
  <c r="AC37" i="5"/>
  <c r="AD37" i="5" s="1"/>
  <c r="AC35" i="5"/>
  <c r="AD35" i="5" s="1"/>
  <c r="AC31" i="5"/>
  <c r="AD31" i="5" s="1"/>
  <c r="AC27" i="5"/>
  <c r="AD27" i="5" s="1"/>
  <c r="AC24" i="5"/>
  <c r="AD24" i="5" s="1"/>
  <c r="AC21" i="5"/>
  <c r="AD21" i="5" s="1"/>
  <c r="AC15" i="5"/>
  <c r="AD15" i="5" s="1"/>
  <c r="AC14" i="5"/>
  <c r="AD14" i="5" s="1"/>
  <c r="AC12" i="5"/>
  <c r="AD12" i="5" s="1"/>
  <c r="AC9" i="5"/>
  <c r="AD9" i="5" s="1"/>
  <c r="AC118" i="5"/>
  <c r="AD118" i="5" s="1"/>
  <c r="AC109" i="5"/>
  <c r="AD109" i="5" s="1"/>
  <c r="AC42" i="5"/>
  <c r="AD42" i="5" s="1"/>
  <c r="AC40" i="5"/>
  <c r="AD40" i="5" s="1"/>
  <c r="AC36" i="5"/>
  <c r="AD36" i="5" s="1"/>
  <c r="AC33" i="5"/>
  <c r="AD33" i="5" s="1"/>
  <c r="AC28" i="5"/>
  <c r="AD28" i="5" s="1"/>
  <c r="AC26" i="5"/>
  <c r="AD26" i="5" s="1"/>
  <c r="AC23" i="5"/>
  <c r="AD23" i="5" s="1"/>
  <c r="AC19" i="5"/>
  <c r="AD19" i="5" s="1"/>
  <c r="AC17" i="5"/>
  <c r="AD17" i="5" s="1"/>
  <c r="AC105" i="5"/>
  <c r="AD105" i="5" s="1"/>
  <c r="AC104" i="5"/>
  <c r="AD104" i="5" s="1"/>
  <c r="AC103" i="5"/>
  <c r="AD103" i="5" s="1"/>
  <c r="AC102" i="5"/>
  <c r="AD102" i="5" s="1"/>
  <c r="AC101" i="5"/>
  <c r="AD101" i="5" s="1"/>
  <c r="AC100" i="5"/>
  <c r="AD100" i="5" s="1"/>
  <c r="AC99" i="5"/>
  <c r="AD99" i="5" s="1"/>
  <c r="AC98" i="5"/>
  <c r="AD98" i="5" s="1"/>
  <c r="AC97" i="5"/>
  <c r="AD97" i="5" s="1"/>
  <c r="AC96" i="5"/>
  <c r="AD96" i="5" s="1"/>
  <c r="AC95" i="5"/>
  <c r="AD95" i="5" s="1"/>
  <c r="AC94" i="5"/>
  <c r="AD94" i="5" s="1"/>
  <c r="AC93" i="5"/>
  <c r="AD93" i="5" s="1"/>
  <c r="AC92" i="5"/>
  <c r="AD92" i="5" s="1"/>
  <c r="AC91" i="5"/>
  <c r="AD91" i="5" s="1"/>
  <c r="AC90" i="5"/>
  <c r="AD90" i="5" s="1"/>
  <c r="AC89" i="5"/>
  <c r="AD89" i="5" s="1"/>
  <c r="AC88" i="5"/>
  <c r="AD88" i="5" s="1"/>
  <c r="AC87" i="5"/>
  <c r="AD87" i="5" s="1"/>
  <c r="AC86" i="5"/>
  <c r="AD86" i="5" s="1"/>
  <c r="AC85" i="5"/>
  <c r="AD85" i="5" s="1"/>
  <c r="AC84" i="5"/>
  <c r="AD84" i="5" s="1"/>
  <c r="AC83" i="5"/>
  <c r="AD83" i="5" s="1"/>
  <c r="AC82" i="5"/>
  <c r="AD82" i="5" s="1"/>
  <c r="AC81" i="5"/>
  <c r="AD81" i="5" s="1"/>
  <c r="AC80" i="5"/>
  <c r="AD80" i="5" s="1"/>
  <c r="AC79" i="5"/>
  <c r="AD79" i="5" s="1"/>
  <c r="AC78" i="5"/>
  <c r="AD78" i="5" s="1"/>
  <c r="AC77" i="5"/>
  <c r="AD77" i="5" s="1"/>
  <c r="AC76" i="5"/>
  <c r="AD76" i="5" s="1"/>
  <c r="AC75" i="5"/>
  <c r="AD75" i="5" s="1"/>
  <c r="AC73" i="5"/>
  <c r="AD73" i="5" s="1"/>
  <c r="AC72" i="5"/>
  <c r="AD72" i="5" s="1"/>
  <c r="AC71" i="5"/>
  <c r="AD71" i="5" s="1"/>
  <c r="AC70" i="5"/>
  <c r="AD70" i="5" s="1"/>
  <c r="AC69" i="5"/>
  <c r="AD69" i="5" s="1"/>
  <c r="AC68" i="5"/>
  <c r="AD68" i="5" s="1"/>
  <c r="AC67" i="5"/>
  <c r="AD67" i="5" s="1"/>
  <c r="AC66" i="5"/>
  <c r="AD66" i="5" s="1"/>
  <c r="AC65" i="5"/>
  <c r="AD65" i="5" s="1"/>
  <c r="AC64" i="5"/>
  <c r="AD64" i="5" s="1"/>
  <c r="AC63" i="5"/>
  <c r="AD63" i="5" s="1"/>
  <c r="AC62" i="5"/>
  <c r="AD62" i="5" s="1"/>
  <c r="AC61" i="5"/>
  <c r="AD61" i="5" s="1"/>
  <c r="AC60" i="5"/>
  <c r="AD60" i="5" s="1"/>
  <c r="AC59" i="5"/>
  <c r="AD59" i="5" s="1"/>
  <c r="AC58" i="5"/>
  <c r="AD58" i="5" s="1"/>
  <c r="AC57" i="5"/>
  <c r="AD57" i="5" s="1"/>
  <c r="AC56" i="5"/>
  <c r="AD56" i="5" s="1"/>
  <c r="AC55" i="5"/>
  <c r="AD55" i="5" s="1"/>
  <c r="AC54" i="5"/>
  <c r="AD54" i="5" s="1"/>
  <c r="AC53" i="5"/>
  <c r="AD53" i="5" s="1"/>
  <c r="AC52" i="5"/>
  <c r="AD52" i="5" s="1"/>
  <c r="AC51" i="5"/>
  <c r="AD51" i="5" s="1"/>
  <c r="AC50" i="5"/>
  <c r="AD50" i="5" s="1"/>
  <c r="AC49" i="5"/>
  <c r="AD49" i="5" s="1"/>
  <c r="AC48" i="5"/>
  <c r="AD48" i="5" s="1"/>
  <c r="AC47" i="5"/>
  <c r="AD47" i="5" s="1"/>
  <c r="AC46" i="5"/>
  <c r="AD46" i="5" s="1"/>
  <c r="AC45" i="5"/>
  <c r="AD45" i="5" s="1"/>
  <c r="AC44" i="5"/>
  <c r="AD44" i="5" s="1"/>
  <c r="AC41" i="5"/>
  <c r="AD41" i="5" s="1"/>
  <c r="AC38" i="5"/>
  <c r="AD38" i="5" s="1"/>
  <c r="AC34" i="5"/>
  <c r="AD34" i="5" s="1"/>
  <c r="AC32" i="5"/>
  <c r="AD32" i="5" s="1"/>
  <c r="AC30" i="5"/>
  <c r="AD30" i="5" s="1"/>
  <c r="AC29" i="5"/>
  <c r="AD29" i="5" s="1"/>
  <c r="AC25" i="5"/>
  <c r="AD25" i="5" s="1"/>
  <c r="AC22" i="5"/>
  <c r="AD22" i="5" s="1"/>
  <c r="AC20" i="5"/>
  <c r="AD20" i="5" s="1"/>
  <c r="AC18" i="5"/>
  <c r="AD18" i="5" s="1"/>
  <c r="AC16" i="5"/>
  <c r="AD16" i="5" s="1"/>
  <c r="AC13" i="5"/>
  <c r="AD13" i="5" s="1"/>
  <c r="AD2" i="5" l="1"/>
  <c r="D38" i="6"/>
  <c r="G38" i="6"/>
  <c r="F38" i="6"/>
  <c r="B15" i="6"/>
  <c r="D15" i="6"/>
  <c r="F15" i="6"/>
  <c r="B16" i="6"/>
  <c r="D16" i="6"/>
  <c r="F16" i="6"/>
  <c r="B17" i="6"/>
  <c r="D17" i="6"/>
  <c r="F17" i="6"/>
  <c r="B18" i="6"/>
  <c r="D18" i="6"/>
  <c r="F18" i="6"/>
  <c r="B19" i="6"/>
  <c r="D19" i="6"/>
  <c r="F19" i="6"/>
  <c r="B20" i="6"/>
  <c r="D20" i="6"/>
  <c r="E20" i="6"/>
  <c r="G20" i="6"/>
  <c r="B21" i="6"/>
  <c r="C21" i="6"/>
  <c r="D21" i="6"/>
  <c r="E21" i="6"/>
  <c r="F21" i="6"/>
  <c r="G21" i="6"/>
  <c r="B22" i="6"/>
  <c r="D22" i="6"/>
  <c r="F22" i="6"/>
  <c r="B23" i="6"/>
  <c r="D23" i="6"/>
  <c r="F23" i="6"/>
  <c r="B24" i="6"/>
  <c r="D24" i="6"/>
  <c r="F24" i="6"/>
  <c r="C25" i="6"/>
  <c r="E25" i="6"/>
  <c r="B26" i="6"/>
  <c r="G31" i="6"/>
  <c r="C15" i="6"/>
  <c r="E15" i="6"/>
  <c r="G15" i="6"/>
  <c r="C16" i="6"/>
  <c r="E16" i="6"/>
  <c r="G16" i="6"/>
  <c r="C17" i="6"/>
  <c r="E17" i="6"/>
  <c r="G17" i="6"/>
  <c r="C18" i="6"/>
  <c r="E18" i="6"/>
  <c r="G18" i="6"/>
  <c r="C19" i="6"/>
  <c r="E19" i="6"/>
  <c r="G19" i="6"/>
  <c r="C20" i="6"/>
  <c r="F20" i="6"/>
  <c r="C22" i="6"/>
  <c r="E22" i="6"/>
  <c r="G22" i="6"/>
  <c r="C23" i="6"/>
  <c r="E23" i="6"/>
  <c r="G23" i="6"/>
  <c r="C24" i="6"/>
  <c r="E24" i="6"/>
  <c r="G24" i="6"/>
  <c r="B25" i="6"/>
  <c r="D25" i="6"/>
  <c r="F25" i="6"/>
  <c r="G25" i="6"/>
  <c r="C26" i="6"/>
  <c r="D26" i="6"/>
  <c r="E26" i="6"/>
  <c r="F26" i="6"/>
  <c r="G26" i="6"/>
  <c r="B27" i="6"/>
  <c r="C27" i="6"/>
  <c r="D27" i="6"/>
  <c r="E27" i="6"/>
  <c r="F27" i="6"/>
  <c r="G27" i="6"/>
  <c r="B28" i="6"/>
  <c r="C28" i="6"/>
  <c r="D28" i="6"/>
  <c r="E28" i="6"/>
  <c r="F28" i="6"/>
  <c r="G28" i="6"/>
  <c r="B29" i="6"/>
  <c r="C29" i="6"/>
  <c r="D29" i="6"/>
  <c r="E29" i="6"/>
  <c r="F29" i="6"/>
  <c r="G29" i="6"/>
  <c r="B30" i="6"/>
  <c r="C30" i="6"/>
  <c r="D30" i="6"/>
  <c r="E30" i="6"/>
  <c r="F30" i="6"/>
  <c r="G30" i="6"/>
  <c r="B31" i="6"/>
  <c r="C31" i="6"/>
  <c r="D31" i="6"/>
  <c r="E31" i="6"/>
  <c r="F31" i="6"/>
  <c r="B32" i="6"/>
  <c r="C32" i="6"/>
  <c r="D32" i="6"/>
  <c r="E32" i="6"/>
  <c r="F32" i="6"/>
  <c r="G32" i="6"/>
  <c r="B33" i="6"/>
  <c r="C33" i="6"/>
  <c r="D33" i="6"/>
  <c r="E33" i="6"/>
  <c r="F33" i="6"/>
  <c r="G33" i="6"/>
  <c r="B34" i="6"/>
  <c r="C34" i="6"/>
  <c r="D34" i="6"/>
  <c r="E34" i="6"/>
  <c r="F34" i="6"/>
  <c r="G34" i="6"/>
  <c r="B35" i="6"/>
  <c r="C35" i="6"/>
  <c r="D35" i="6"/>
  <c r="E35" i="6"/>
  <c r="F35" i="6"/>
  <c r="G35" i="6"/>
  <c r="B36" i="6"/>
  <c r="C36" i="6"/>
  <c r="D36" i="6"/>
  <c r="E36" i="6"/>
  <c r="F36" i="6"/>
  <c r="G36" i="6"/>
  <c r="B37" i="6"/>
  <c r="C37" i="6"/>
  <c r="D37" i="6"/>
  <c r="E37" i="6"/>
  <c r="F37" i="6"/>
  <c r="G37" i="6"/>
  <c r="B38" i="6"/>
  <c r="C38" i="6"/>
  <c r="E38" i="6"/>
</calcChain>
</file>

<file path=xl/sharedStrings.xml><?xml version="1.0" encoding="utf-8"?>
<sst xmlns="http://schemas.openxmlformats.org/spreadsheetml/2006/main" count="3743" uniqueCount="616">
  <si>
    <t>Data S2: Catchment-level beta, NSE, and inundation metrics</t>
  </si>
  <si>
    <t>Article title</t>
  </si>
  <si>
    <t>Journal</t>
  </si>
  <si>
    <t>Authors</t>
  </si>
  <si>
    <t>Affiliation</t>
  </si>
  <si>
    <t>Department of Civil Engineering, Yeungnam University, Gyeongsan, Republic of Korea</t>
  </si>
  <si>
    <t>Corresponding author</t>
  </si>
  <si>
    <t>Yongwon Seo (yongwon.seo@yu.ac.kr)</t>
  </si>
  <si>
    <t>Repository</t>
  </si>
  <si>
    <t>https://github.com/seokminsu99-byte/FMT_plug_PLENA</t>
  </si>
  <si>
    <t>Official journal guidelines</t>
  </si>
  <si>
    <t>https://onlinelibrary.wiley.com/page/journal/10991085/homepage/forauthors.html</t>
  </si>
  <si>
    <t>Data S2 caption</t>
  </si>
  <si>
    <t>Catchment-level beta estimates, NSE results, GIS-derived catchment areas, and annual/cumulative inundation metrics for the 239 drainage catchments in Seoul.</t>
  </si>
  <si>
    <t>Workbook contents</t>
  </si>
  <si>
    <t>Best beta estimates for 239 drainage catchments; all candidate beta-specific NSE summaries; beta-class counts; catchment-level annual and derived inundation metrics; and table-level flood-result checks.</t>
  </si>
  <si>
    <t>Classification rule</t>
  </si>
  <si>
    <t>The representative class listed in Best Beta Results is the candidate k with the highest NSE(mean_q), where beta = 10^k. Exact ties are resolved by selecting the lowest k.</t>
  </si>
  <si>
    <t>Comparison reference</t>
  </si>
  <si>
    <t>Seo Y, Kim KJ, Jeong WC (2024) Network characteristics and its impact on flooding in urban catchments: A case study in Seoul, South Korea. Journal of Korea Water Resources Association 57:1221-1230. https://doi.org/10.3741/JKWRA.2024.57.S-1.1221</t>
  </si>
  <si>
    <t>File name</t>
  </si>
  <si>
    <t>Data_S2.xlsx</t>
  </si>
  <si>
    <t>Inundation-footprint owner and access</t>
  </si>
  <si>
    <t>Seoul Metropolitan Government; public annual files are downloadable from the Seoul Open Data Plaza dataset OA-15636: https://data.seoul.go.kr/dataList/OA-15636/F/1/datasetView.do</t>
  </si>
  <si>
    <t>Drainage GIS owner and access</t>
  </si>
  <si>
    <t>Seoul Metropolitan Government, Water Circulation Safety Bureau, Water Reclamation Planning Division. Raw drainage GIS files are not redistributed and must be requested from the division subject to its access and reuse conditions: https://news.seoul.go.kr/env/archives/747</t>
  </si>
  <si>
    <t>Area basis</t>
  </si>
  <si>
    <t>GIS-derived planar areas. Catchment-boundary areas are reported to 0.001 km^2, matching the manuscript calculations; annual flooded areas are catchment-intersection areas.</t>
  </si>
  <si>
    <t>Available inundation years</t>
  </si>
  <si>
    <t>2010-2014, 2016-2020, and 2022-2025</t>
  </si>
  <si>
    <t>Unavailable inundation years</t>
  </si>
  <si>
    <t>2015 and 2021; retained as blank values rather than zero.</t>
  </si>
  <si>
    <t>Flood-metric definitions</t>
  </si>
  <si>
    <t>See the Flood Data Method sheet. Flood Metrics and Flood Summary reproduce the inputs and calculations used for manuscript Tables 4 and 5.</t>
  </si>
  <si>
    <t>Catchment ID</t>
  </si>
  <si>
    <t>Catchment name</t>
  </si>
  <si>
    <t>Seo et al. (2024), k</t>
  </si>
  <si>
    <t>PLENA, k</t>
  </si>
  <si>
    <t>PLENA beta class</t>
  </si>
  <si>
    <t>Classification status</t>
  </si>
  <si>
    <t>Dobong</t>
  </si>
  <si>
    <t>10^-3</t>
  </si>
  <si>
    <t>Valid</t>
  </si>
  <si>
    <t>Baekwoon</t>
  </si>
  <si>
    <t>10^-2</t>
  </si>
  <si>
    <t>Sanggye 3</t>
  </si>
  <si>
    <t>10^-4</t>
  </si>
  <si>
    <t>Sanggye 2</t>
  </si>
  <si>
    <t>Ssangmoon 1</t>
  </si>
  <si>
    <t>Banghak</t>
  </si>
  <si>
    <t>Onsoo</t>
  </si>
  <si>
    <t>Uei 1</t>
  </si>
  <si>
    <t>10^1</t>
  </si>
  <si>
    <t>Sanggye 1</t>
  </si>
  <si>
    <t>Joonggye 1</t>
  </si>
  <si>
    <t>10^-1</t>
  </si>
  <si>
    <t>Uei 2</t>
  </si>
  <si>
    <t>Changdong 1</t>
  </si>
  <si>
    <t>Ssangmoon 2</t>
  </si>
  <si>
    <t>Jingwan</t>
  </si>
  <si>
    <t>Joonggye 2</t>
  </si>
  <si>
    <t>Goopabal</t>
  </si>
  <si>
    <t>Changdong 2</t>
  </si>
  <si>
    <t>Hagye</t>
  </si>
  <si>
    <t>Sooyoo 1</t>
  </si>
  <si>
    <t>Gongreung 2</t>
  </si>
  <si>
    <t>Weolgye 2</t>
  </si>
  <si>
    <t>Gugi</t>
  </si>
  <si>
    <t>Galhyun</t>
  </si>
  <si>
    <t>Gongleung 1</t>
  </si>
  <si>
    <t>Mia 2</t>
  </si>
  <si>
    <t>Bulgwang 1</t>
  </si>
  <si>
    <t>Pyeongchang</t>
  </si>
  <si>
    <t>Mia 1</t>
  </si>
  <si>
    <t>Nokbeon 1</t>
  </si>
  <si>
    <t>Gusan 1</t>
  </si>
  <si>
    <t>Bulgwang 2</t>
  </si>
  <si>
    <t>Sinnae 1</t>
  </si>
  <si>
    <t>Daejo</t>
  </si>
  <si>
    <t>Mookdong</t>
  </si>
  <si>
    <t>Gileum</t>
  </si>
  <si>
    <t>Imoon</t>
  </si>
  <si>
    <t>Nokbeon 2</t>
  </si>
  <si>
    <t>Gusan 2</t>
  </si>
  <si>
    <t>Sinnae 2</t>
  </si>
  <si>
    <t>Haweolgok</t>
  </si>
  <si>
    <t>Hongeun 1</t>
  </si>
  <si>
    <t>Gyehwa</t>
  </si>
  <si>
    <t>Jongam</t>
  </si>
  <si>
    <t>Seongbuk</t>
  </si>
  <si>
    <t>Myeonmok 1</t>
  </si>
  <si>
    <t>Gangbuksinsa</t>
  </si>
  <si>
    <t>Booam</t>
  </si>
  <si>
    <t>Dongseon</t>
  </si>
  <si>
    <t>Mangwoo</t>
  </si>
  <si>
    <t>Eungam 1</t>
  </si>
  <si>
    <t>Hongeun 2</t>
  </si>
  <si>
    <t>Hongje</t>
  </si>
  <si>
    <t>Hyoja</t>
  </si>
  <si>
    <t>Chungryangri</t>
  </si>
  <si>
    <t>Anam</t>
  </si>
  <si>
    <t>Jeungsan</t>
  </si>
  <si>
    <t>Nanji</t>
  </si>
  <si>
    <t>Eungam 2</t>
  </si>
  <si>
    <t>Jegi</t>
  </si>
  <si>
    <t>Myeonmok 2</t>
  </si>
  <si>
    <t>Myeongryoon</t>
  </si>
  <si>
    <t>Bomoon</t>
  </si>
  <si>
    <t>Gahoe</t>
  </si>
  <si>
    <t>Banghwa 2</t>
  </si>
  <si>
    <t>Soosaek</t>
  </si>
  <si>
    <t>Jeonnong</t>
  </si>
  <si>
    <t>Jangan</t>
  </si>
  <si>
    <t>Namgajwa 1</t>
  </si>
  <si>
    <t>Banghwa 1</t>
  </si>
  <si>
    <t>Bukgajwa</t>
  </si>
  <si>
    <t>Myunmok 3</t>
  </si>
  <si>
    <t>Sungin</t>
  </si>
  <si>
    <t>Gwahae</t>
  </si>
  <si>
    <t>Not reported</t>
  </si>
  <si>
    <t>Not classified</t>
  </si>
  <si>
    <t>No valid classification</t>
  </si>
  <si>
    <t>Hail</t>
  </si>
  <si>
    <t>Myunmok 4</t>
  </si>
  <si>
    <t>Hyunjeo</t>
  </si>
  <si>
    <t>Naebalsan</t>
  </si>
  <si>
    <t>Namgajwa 2</t>
  </si>
  <si>
    <t>Gayang</t>
  </si>
  <si>
    <t>Naengcheon</t>
  </si>
  <si>
    <t>Yeonhui</t>
  </si>
  <si>
    <t>Sinchon</t>
  </si>
  <si>
    <t>Seongsan</t>
  </si>
  <si>
    <t>Donggyo</t>
  </si>
  <si>
    <t>Joonggok</t>
  </si>
  <si>
    <t>Majang</t>
  </si>
  <si>
    <t>Sindang</t>
  </si>
  <si>
    <t>Godeok</t>
  </si>
  <si>
    <t>Ahyun</t>
  </si>
  <si>
    <t>Sangil 2</t>
  </si>
  <si>
    <t>Jangchung</t>
  </si>
  <si>
    <t>Pildong</t>
  </si>
  <si>
    <t>Hoehyun</t>
  </si>
  <si>
    <t>Amsa</t>
  </si>
  <si>
    <t>Mangwon</t>
  </si>
  <si>
    <t>Oebalsan</t>
  </si>
  <si>
    <t>Sangil 1</t>
  </si>
  <si>
    <t>Bongrae</t>
  </si>
  <si>
    <t>Haengdang</t>
  </si>
  <si>
    <t>Deungchon 1</t>
  </si>
  <si>
    <t>Goonja</t>
  </si>
  <si>
    <t>Manri</t>
  </si>
  <si>
    <t>Gwangjang</t>
  </si>
  <si>
    <t>Dangsan</t>
  </si>
  <si>
    <t>Guui</t>
  </si>
  <si>
    <t>Seogyo</t>
  </si>
  <si>
    <t>Myungil</t>
  </si>
  <si>
    <t>Geumho</t>
  </si>
  <si>
    <t>Cheonho</t>
  </si>
  <si>
    <t>Hwagok 1</t>
  </si>
  <si>
    <t>Changjeon</t>
  </si>
  <si>
    <t>Daehyun</t>
  </si>
  <si>
    <t>Hwayang</t>
  </si>
  <si>
    <t>Mokdong 1</t>
  </si>
  <si>
    <t>Hooam</t>
  </si>
  <si>
    <t>Gongdeok</t>
  </si>
  <si>
    <t>Duengchon 2</t>
  </si>
  <si>
    <t>Seongsoo 1</t>
  </si>
  <si>
    <t>Habjeong</t>
  </si>
  <si>
    <t>Itaewon</t>
  </si>
  <si>
    <t>Sinwol 1</t>
  </si>
  <si>
    <t>Hannam</t>
  </si>
  <si>
    <t>Sinsoo</t>
  </si>
  <si>
    <t>Hyochang</t>
  </si>
  <si>
    <t>Sinwol 2</t>
  </si>
  <si>
    <t>Oksoo</t>
  </si>
  <si>
    <t>Seongsoo</t>
  </si>
  <si>
    <t>Gildong</t>
  </si>
  <si>
    <t>Mokdong 2</t>
  </si>
  <si>
    <t>Gildong Highland</t>
  </si>
  <si>
    <t>Poongnab</t>
  </si>
  <si>
    <t>Hwagok 3</t>
  </si>
  <si>
    <t>Hwagok 2</t>
  </si>
  <si>
    <t>Weonhyo</t>
  </si>
  <si>
    <t>Jooseong</t>
  </si>
  <si>
    <t>Apgujeong</t>
  </si>
  <si>
    <t>Yeongdeungpo</t>
  </si>
  <si>
    <t>Samweon</t>
  </si>
  <si>
    <t>Seongnae</t>
  </si>
  <si>
    <t>Sinwol 3</t>
  </si>
  <si>
    <t>Yongsan</t>
  </si>
  <si>
    <t>Gangnamsinsa</t>
  </si>
  <si>
    <t>Cheongdam</t>
  </si>
  <si>
    <t>Bogwang</t>
  </si>
  <si>
    <t>Dongbooichon</t>
  </si>
  <si>
    <t>Moonrae</t>
  </si>
  <si>
    <t>Songpa 1</t>
  </si>
  <si>
    <t>Mokdong 3</t>
  </si>
  <si>
    <t>Jamweon</t>
  </si>
  <si>
    <t>Sinjung Highland</t>
  </si>
  <si>
    <t>Bangi</t>
  </si>
  <si>
    <t>Songpa 2</t>
  </si>
  <si>
    <t>Samsung 2</t>
  </si>
  <si>
    <t>Seokchon</t>
  </si>
  <si>
    <t>Jamsil</t>
  </si>
  <si>
    <t>Ogeum</t>
  </si>
  <si>
    <t>Banpo 1</t>
  </si>
  <si>
    <t>Noryang 1</t>
  </si>
  <si>
    <t>Singil</t>
  </si>
  <si>
    <t>Sinjeong</t>
  </si>
  <si>
    <t>Nonhyun</t>
  </si>
  <si>
    <t>Sindolim</t>
  </si>
  <si>
    <t>Gocheok 2</t>
  </si>
  <si>
    <t>Samsung 1</t>
  </si>
  <si>
    <t>Seocho 5</t>
  </si>
  <si>
    <t>Heukseok</t>
  </si>
  <si>
    <t>Dorim 2</t>
  </si>
  <si>
    <t>Dongjak</t>
  </si>
  <si>
    <t>Gooro 1</t>
  </si>
  <si>
    <t>Oryu 2</t>
  </si>
  <si>
    <t>Sangdo 1</t>
  </si>
  <si>
    <t>Dorim 1</t>
  </si>
  <si>
    <t>Samjeon</t>
  </si>
  <si>
    <t>Sangdo 2</t>
  </si>
  <si>
    <t>Gocheok 1</t>
  </si>
  <si>
    <t>Daechi</t>
  </si>
  <si>
    <t>Daebang</t>
  </si>
  <si>
    <t>Geoyeo</t>
  </si>
  <si>
    <t>Banpo 2</t>
  </si>
  <si>
    <t>Yeoksam</t>
  </si>
  <si>
    <t>Dogok</t>
  </si>
  <si>
    <t>Garak</t>
  </si>
  <si>
    <t>Isu</t>
  </si>
  <si>
    <t>Ilwon</t>
  </si>
  <si>
    <t>Guro 3</t>
  </si>
  <si>
    <t>Bangbae 2</t>
  </si>
  <si>
    <t>Seocho 4</t>
  </si>
  <si>
    <t>Seocho 1</t>
  </si>
  <si>
    <t>Bangbae 1</t>
  </si>
  <si>
    <t>Sindaebang</t>
  </si>
  <si>
    <t>Gooro 2</t>
  </si>
  <si>
    <t>Imok</t>
  </si>
  <si>
    <t>Bongcheon</t>
  </si>
  <si>
    <t>Yangjae</t>
  </si>
  <si>
    <t>Seocho 3</t>
  </si>
  <si>
    <t>Gaepo Foy</t>
  </si>
  <si>
    <t>Jangji</t>
  </si>
  <si>
    <t>Sooseo</t>
  </si>
  <si>
    <t>Bongcheon 3</t>
  </si>
  <si>
    <t>Seocho 2</t>
  </si>
  <si>
    <t>Sinlim 4</t>
  </si>
  <si>
    <t>Sinlim 1</t>
  </si>
  <si>
    <t>Oryu 3</t>
  </si>
  <si>
    <t>Garibong</t>
  </si>
  <si>
    <t>Yulhyeon</t>
  </si>
  <si>
    <t>Daerim</t>
  </si>
  <si>
    <t>Gongdan</t>
  </si>
  <si>
    <t>Bangbae 4</t>
  </si>
  <si>
    <t>Sadang</t>
  </si>
  <si>
    <t>Bongcheon 2</t>
  </si>
  <si>
    <t>Bangbae 3</t>
  </si>
  <si>
    <t>Woomyeon</t>
  </si>
  <si>
    <t>Doksan Center</t>
  </si>
  <si>
    <t>Segok</t>
  </si>
  <si>
    <t>Naegok</t>
  </si>
  <si>
    <t>Sinlim 2</t>
  </si>
  <si>
    <t>Namhyeon</t>
  </si>
  <si>
    <t>Sinlim 3</t>
  </si>
  <si>
    <t>Wonji</t>
  </si>
  <si>
    <t>Doksan Lowland</t>
  </si>
  <si>
    <t>Seouldae</t>
  </si>
  <si>
    <t>Yeomgok</t>
  </si>
  <si>
    <t>Doksan Highland</t>
  </si>
  <si>
    <t>Siheung Highland</t>
  </si>
  <si>
    <t>Siheung Highland 1</t>
  </si>
  <si>
    <t>Siheung Lowland</t>
  </si>
  <si>
    <t>Gwanak</t>
  </si>
  <si>
    <t>10^0</t>
  </si>
  <si>
    <t>Sinweon</t>
  </si>
  <si>
    <t>Gonghang</t>
  </si>
  <si>
    <t>Sooyoo 2</t>
  </si>
  <si>
    <t>Jeongreung 1</t>
  </si>
  <si>
    <t>Jeongreung 2</t>
  </si>
  <si>
    <t>Geobong</t>
  </si>
  <si>
    <t>Oryu 1</t>
  </si>
  <si>
    <t>Oryu 4</t>
  </si>
  <si>
    <t>Noryang 2</t>
  </si>
  <si>
    <t>Yeouido</t>
  </si>
  <si>
    <t>Weolgye 1</t>
  </si>
  <si>
    <t>Jangwi</t>
  </si>
  <si>
    <t>Candidate k</t>
  </si>
  <si>
    <t>Candidate beta</t>
  </si>
  <si>
    <t>NSE(mean_q)</t>
  </si>
  <si>
    <t>Data S2: Seoul drainage-catchment beta distribution</t>
  </si>
  <si>
    <t>k</t>
  </si>
  <si>
    <t>Beta class</t>
  </si>
  <si>
    <t>PLENA count</t>
  </si>
  <si>
    <t>PLENA percentage</t>
  </si>
  <si>
    <t>10^2</t>
  </si>
  <si>
    <t>10^3</t>
  </si>
  <si>
    <t>Korean name</t>
  </si>
  <si>
    <t>Catchment area (km^2)</t>
  </si>
  <si>
    <t>2010 flooded area (km^2)</t>
  </si>
  <si>
    <t>2011 flooded area (km^2)</t>
  </si>
  <si>
    <t>2012 flooded area (km^2)</t>
  </si>
  <si>
    <t>2013 flooded area (km^2)</t>
  </si>
  <si>
    <t>2014 flooded area (km^2)</t>
  </si>
  <si>
    <t>2015 flooded area (km^2)</t>
  </si>
  <si>
    <t>2016 flooded area (km^2)</t>
  </si>
  <si>
    <t>2017 flooded area (km^2)</t>
  </si>
  <si>
    <t>2018 flooded area (km^2)</t>
  </si>
  <si>
    <t>2019 flooded area (km^2)</t>
  </si>
  <si>
    <t>2020 flooded area (km^2)</t>
  </si>
  <si>
    <t>2021 flooded area (km^2)</t>
  </si>
  <si>
    <t>2022 flooded area (km^2)</t>
  </si>
  <si>
    <t>2023 flooded area (km^2)</t>
  </si>
  <si>
    <t>2024 flooded area (km^2)</t>
  </si>
  <si>
    <t>2025 flooded area (km^2)</t>
  </si>
  <si>
    <t>Cumulative flooded area (km^2)</t>
  </si>
  <si>
    <t>Cumulative flooded-area percentage (%)</t>
  </si>
  <si>
    <t>Maximum annual flooded area (km^2)</t>
  </si>
  <si>
    <t>Year of maximum annual flooded area</t>
  </si>
  <si>
    <t>Maximum annual flooded-area percentage (%)</t>
  </si>
  <si>
    <t>Top-10% rank</t>
  </si>
  <si>
    <t>Top-10% flag</t>
  </si>
  <si>
    <t>도봉</t>
  </si>
  <si>
    <t>백운</t>
  </si>
  <si>
    <t>상계3</t>
  </si>
  <si>
    <t>상계2</t>
  </si>
  <si>
    <t>쌍문1</t>
  </si>
  <si>
    <t>방학</t>
  </si>
  <si>
    <t>온수</t>
  </si>
  <si>
    <t>우이1</t>
  </si>
  <si>
    <t>상계1</t>
  </si>
  <si>
    <t>중계1</t>
  </si>
  <si>
    <t>우이2</t>
  </si>
  <si>
    <t>창동1</t>
  </si>
  <si>
    <t>쌍문2</t>
  </si>
  <si>
    <t>진관</t>
  </si>
  <si>
    <t>중계2</t>
  </si>
  <si>
    <t>구파발</t>
  </si>
  <si>
    <t>창동2</t>
  </si>
  <si>
    <t>하계</t>
  </si>
  <si>
    <t>수유1</t>
  </si>
  <si>
    <t>공릉2</t>
  </si>
  <si>
    <t>월계2</t>
  </si>
  <si>
    <t>구기</t>
  </si>
  <si>
    <t>갈현</t>
  </si>
  <si>
    <t>공릉1</t>
  </si>
  <si>
    <t>미아2</t>
  </si>
  <si>
    <t>불광1</t>
  </si>
  <si>
    <t>평창</t>
  </si>
  <si>
    <t>미아1</t>
  </si>
  <si>
    <t>녹번1</t>
  </si>
  <si>
    <t>구산1</t>
  </si>
  <si>
    <t>불광2</t>
  </si>
  <si>
    <t>신내1</t>
  </si>
  <si>
    <t>대조</t>
  </si>
  <si>
    <t>묵동</t>
  </si>
  <si>
    <t>길음</t>
  </si>
  <si>
    <t>이문</t>
  </si>
  <si>
    <t>녹번2</t>
  </si>
  <si>
    <t>구산2</t>
  </si>
  <si>
    <t>신내2</t>
  </si>
  <si>
    <t>하월곡</t>
  </si>
  <si>
    <t>홍은1</t>
  </si>
  <si>
    <t>개화</t>
  </si>
  <si>
    <t>종암</t>
  </si>
  <si>
    <t>성북</t>
  </si>
  <si>
    <t>면목1</t>
  </si>
  <si>
    <t>강북신사</t>
  </si>
  <si>
    <t>부암</t>
  </si>
  <si>
    <t>동선</t>
  </si>
  <si>
    <t>망우</t>
  </si>
  <si>
    <t>응암1</t>
  </si>
  <si>
    <t>홍은2</t>
  </si>
  <si>
    <t>홍제</t>
  </si>
  <si>
    <t>효자</t>
  </si>
  <si>
    <t>청량리</t>
  </si>
  <si>
    <t>안암</t>
  </si>
  <si>
    <t>증산</t>
  </si>
  <si>
    <t>난지</t>
  </si>
  <si>
    <t>응암2</t>
  </si>
  <si>
    <t>제기</t>
  </si>
  <si>
    <t>면목2</t>
  </si>
  <si>
    <t>명륜</t>
  </si>
  <si>
    <t>보문</t>
  </si>
  <si>
    <t>가회</t>
  </si>
  <si>
    <t>방화2</t>
  </si>
  <si>
    <t>수색</t>
  </si>
  <si>
    <t>전농</t>
  </si>
  <si>
    <t>장안</t>
  </si>
  <si>
    <t>남가좌1</t>
  </si>
  <si>
    <t>방화1</t>
  </si>
  <si>
    <t>북가좌</t>
  </si>
  <si>
    <t>면목3</t>
  </si>
  <si>
    <t>숭인</t>
  </si>
  <si>
    <t>과해</t>
  </si>
  <si>
    <t>하일</t>
  </si>
  <si>
    <t>면목4</t>
  </si>
  <si>
    <t>현저</t>
  </si>
  <si>
    <t>내발산</t>
  </si>
  <si>
    <t>남가좌2</t>
  </si>
  <si>
    <t>가양</t>
  </si>
  <si>
    <t>냉천</t>
  </si>
  <si>
    <t>연희</t>
  </si>
  <si>
    <t>신촌</t>
  </si>
  <si>
    <t>성산</t>
  </si>
  <si>
    <t>동교</t>
  </si>
  <si>
    <t>중곡</t>
  </si>
  <si>
    <t>마장</t>
  </si>
  <si>
    <t>신당</t>
  </si>
  <si>
    <t>고덕</t>
  </si>
  <si>
    <t>아현</t>
  </si>
  <si>
    <t>상일2</t>
  </si>
  <si>
    <t>장충</t>
  </si>
  <si>
    <t>필동</t>
  </si>
  <si>
    <t>회현</t>
  </si>
  <si>
    <t>암사</t>
  </si>
  <si>
    <t>망원</t>
  </si>
  <si>
    <t>외발산</t>
  </si>
  <si>
    <t>상일1</t>
  </si>
  <si>
    <t>봉래</t>
  </si>
  <si>
    <t>행당</t>
  </si>
  <si>
    <t>등촌1</t>
  </si>
  <si>
    <t>군자</t>
  </si>
  <si>
    <t>만리</t>
  </si>
  <si>
    <t>광장</t>
  </si>
  <si>
    <t>당산</t>
  </si>
  <si>
    <t>구의</t>
  </si>
  <si>
    <t>서교</t>
  </si>
  <si>
    <t>명일</t>
  </si>
  <si>
    <t>금호</t>
  </si>
  <si>
    <t>천호</t>
  </si>
  <si>
    <t>화곡1</t>
  </si>
  <si>
    <t>창전</t>
  </si>
  <si>
    <t>대현</t>
  </si>
  <si>
    <t>화양</t>
  </si>
  <si>
    <t>목동1</t>
  </si>
  <si>
    <t>후암</t>
  </si>
  <si>
    <t>공덕</t>
  </si>
  <si>
    <t>등촌2</t>
  </si>
  <si>
    <t>성수1</t>
  </si>
  <si>
    <t>합정</t>
  </si>
  <si>
    <t>이태원</t>
  </si>
  <si>
    <t>신월1</t>
  </si>
  <si>
    <t>한남</t>
  </si>
  <si>
    <t>신수</t>
  </si>
  <si>
    <t>효창</t>
  </si>
  <si>
    <t>신월2</t>
  </si>
  <si>
    <t>옥수</t>
  </si>
  <si>
    <t>성수2</t>
  </si>
  <si>
    <t>길동</t>
  </si>
  <si>
    <t>목동2</t>
  </si>
  <si>
    <t>길동고지</t>
  </si>
  <si>
    <t>풍납</t>
  </si>
  <si>
    <t>화곡3</t>
  </si>
  <si>
    <t>화곡2</t>
  </si>
  <si>
    <t>원효</t>
  </si>
  <si>
    <t>주성</t>
  </si>
  <si>
    <t>압구정</t>
  </si>
  <si>
    <t>영등포</t>
  </si>
  <si>
    <t>심원</t>
  </si>
  <si>
    <t>성내</t>
  </si>
  <si>
    <t>신월3</t>
  </si>
  <si>
    <t>용산</t>
  </si>
  <si>
    <t>강남신사</t>
  </si>
  <si>
    <t>청담</t>
  </si>
  <si>
    <t>보광</t>
  </si>
  <si>
    <t>동부이촌</t>
  </si>
  <si>
    <t>문래</t>
  </si>
  <si>
    <t>송파1</t>
  </si>
  <si>
    <t>목동3</t>
  </si>
  <si>
    <t>잠원</t>
  </si>
  <si>
    <t>신정고지</t>
  </si>
  <si>
    <t>방이</t>
  </si>
  <si>
    <t>송파2</t>
  </si>
  <si>
    <t>삼성2</t>
  </si>
  <si>
    <t>석촌</t>
  </si>
  <si>
    <t>잠실</t>
  </si>
  <si>
    <t>오금</t>
  </si>
  <si>
    <t>반포1</t>
  </si>
  <si>
    <t>노량1</t>
  </si>
  <si>
    <t>신길</t>
  </si>
  <si>
    <t>신정</t>
  </si>
  <si>
    <t>논현</t>
  </si>
  <si>
    <t>신도림</t>
  </si>
  <si>
    <t>고척2</t>
  </si>
  <si>
    <t>삼성1</t>
  </si>
  <si>
    <t>서초5</t>
  </si>
  <si>
    <t>흑석</t>
  </si>
  <si>
    <t>도림2</t>
  </si>
  <si>
    <t>동작</t>
  </si>
  <si>
    <t>구로1</t>
  </si>
  <si>
    <t>오류2</t>
  </si>
  <si>
    <t>상도1</t>
  </si>
  <si>
    <t>도림1</t>
  </si>
  <si>
    <t>삼전</t>
  </si>
  <si>
    <t>상도2</t>
  </si>
  <si>
    <t>고척1</t>
  </si>
  <si>
    <t>대치</t>
  </si>
  <si>
    <t>대방</t>
  </si>
  <si>
    <t>거여</t>
  </si>
  <si>
    <t>반포2</t>
  </si>
  <si>
    <t>역삼</t>
  </si>
  <si>
    <t>도곡</t>
  </si>
  <si>
    <t>가락</t>
  </si>
  <si>
    <t>이수</t>
  </si>
  <si>
    <t>일원</t>
  </si>
  <si>
    <t>구로3</t>
  </si>
  <si>
    <t>방배2</t>
  </si>
  <si>
    <t>서초4</t>
  </si>
  <si>
    <t>서초1</t>
  </si>
  <si>
    <t>방배1</t>
  </si>
  <si>
    <t>신대방</t>
  </si>
  <si>
    <t>구로2</t>
  </si>
  <si>
    <t>이목</t>
  </si>
  <si>
    <t>봉천1</t>
  </si>
  <si>
    <t>양재</t>
  </si>
  <si>
    <t>서초3</t>
  </si>
  <si>
    <t>개포포이</t>
  </si>
  <si>
    <t>장지</t>
  </si>
  <si>
    <t>수서</t>
  </si>
  <si>
    <t>봉천3</t>
  </si>
  <si>
    <t>서초2</t>
  </si>
  <si>
    <t>신림4</t>
  </si>
  <si>
    <t>신림1</t>
  </si>
  <si>
    <t>오류3</t>
  </si>
  <si>
    <t>가리봉</t>
  </si>
  <si>
    <t>율현</t>
  </si>
  <si>
    <t>대림</t>
  </si>
  <si>
    <t>공단</t>
  </si>
  <si>
    <t>방배4</t>
  </si>
  <si>
    <t>사당</t>
  </si>
  <si>
    <t>봉천2</t>
  </si>
  <si>
    <t>방배3</t>
  </si>
  <si>
    <t>우면</t>
  </si>
  <si>
    <t>독산중앙</t>
  </si>
  <si>
    <t>세곡</t>
  </si>
  <si>
    <t>내곡</t>
  </si>
  <si>
    <t>신림2</t>
  </si>
  <si>
    <t>남현</t>
  </si>
  <si>
    <t>신림3</t>
  </si>
  <si>
    <t>원지</t>
  </si>
  <si>
    <t>독산저지</t>
  </si>
  <si>
    <t>서울대</t>
  </si>
  <si>
    <t>염곡</t>
  </si>
  <si>
    <t>독산고지</t>
  </si>
  <si>
    <t>시흥고지</t>
  </si>
  <si>
    <t>시흥고지1</t>
  </si>
  <si>
    <t>시흥저지</t>
  </si>
  <si>
    <t>관악</t>
  </si>
  <si>
    <t>신원</t>
  </si>
  <si>
    <t>공항</t>
  </si>
  <si>
    <t>수유2</t>
  </si>
  <si>
    <t>정릉1</t>
  </si>
  <si>
    <t>정릉2</t>
  </si>
  <si>
    <t>개봉</t>
  </si>
  <si>
    <t>오류1</t>
  </si>
  <si>
    <t>오류4</t>
  </si>
  <si>
    <t>노량2</t>
  </si>
  <si>
    <t>여의도</t>
  </si>
  <si>
    <t>월계1</t>
  </si>
  <si>
    <t>장위</t>
  </si>
  <si>
    <t>Data S2: Flood-result checks for manuscript Tables 4 and 5</t>
  </si>
  <si>
    <t>Valid catchment count</t>
  </si>
  <si>
    <t>Total catchment area (km^2)</t>
  </si>
  <si>
    <t>Mean cumulative flooded-area percentage (%)</t>
  </si>
  <si>
    <t>Top 10% of catchments by maximum annual flooded-area percentage (24 of 239)</t>
  </si>
  <si>
    <t>Rank</t>
  </si>
  <si>
    <t>Year</t>
  </si>
  <si>
    <t>Data S2: Flood-data derivation and access</t>
  </si>
  <si>
    <t>Category</t>
  </si>
  <si>
    <t>Item</t>
  </si>
  <si>
    <t>Documented method or access condition</t>
  </si>
  <si>
    <t>Scope</t>
  </si>
  <si>
    <t>Spatial units</t>
  </si>
  <si>
    <t>239 Seoul drainage catchments.</t>
  </si>
  <si>
    <t>Analysis period</t>
  </si>
  <si>
    <t>2010-2025. Source data are available for 2010-2014, 2016-2020, and 2022-2025.</t>
  </si>
  <si>
    <t>Missing data</t>
  </si>
  <si>
    <t>2015 and 2021</t>
  </si>
  <si>
    <t>No inundation-footprint files are provided for these years; cells are blank and are not treated as zero.</t>
  </si>
  <si>
    <t>Source</t>
  </si>
  <si>
    <t>Annual inundation footprints</t>
  </si>
  <si>
    <t>Seoul Metropolitan Government, Seoul Open Data Plaza dataset OA-15636: https://data.seoul.go.kr/dataList/OA-15636/F/1/datasetView.do</t>
  </si>
  <si>
    <t>Drainage catchment boundaries</t>
  </si>
  <si>
    <t>Seoul Metropolitan Government, Water Circulation Safety Bureau, Water Reclamation Planning Division. Raw drainage GIS files are not redistributed; access must be requested from the division subject to its conditions: https://news.seoul.go.kr/env/archives/747</t>
  </si>
  <si>
    <t>GIS processing</t>
  </si>
  <si>
    <t>Coordinate system and unit</t>
  </si>
  <si>
    <t>Korean 1985 / Central Belt; planar areas calculated in square metres and converted to square kilometres.</t>
  </si>
  <si>
    <t>Within-year overlap</t>
  </si>
  <si>
    <t>Inundation polygons were unioned within each year before intersection with the 239 drainage-catchment boundaries, preventing double counting of overlapping polygons in the same year.</t>
  </si>
  <si>
    <t>Catchment allocation</t>
  </si>
  <si>
    <t>The unioned annual inundation footprint was intersected with each drainage-catchment boundary; the resulting planar intersection area is the annual flooded area.</t>
  </si>
  <si>
    <t>2022 records</t>
  </si>
  <si>
    <t>All records in the 2022 source file were retained. The records marked F_YR = 2023 were assigned to 2022 based on the source-file/layer identity and event-date fields and were not duplicates of the separate 2023 source.</t>
  </si>
  <si>
    <t>Metric</t>
  </si>
  <si>
    <t>Catchment area</t>
  </si>
  <si>
    <t>GIS-derived catchment-boundary area reported to 0.001 km^2, matching the manuscript calculation workbook.</t>
  </si>
  <si>
    <t>Cumulative flooded area</t>
  </si>
  <si>
    <t>Sum of annual flooded areas across available years. The same location flooded in different years contributes once in each applicable year.</t>
  </si>
  <si>
    <t>Cumulative flooded-area percentage</t>
  </si>
  <si>
    <t>Cumulative flooded area divided by catchment area and multiplied by 100. Manuscript Table 4 reports the arithmetic mean of these catchment-level percentages by beta class.</t>
  </si>
  <si>
    <t>Maximum annual flooded-area percentage</t>
  </si>
  <si>
    <t>Largest annual flooded area for a catchment divided by its catchment area and multiplied by 100.</t>
  </si>
  <si>
    <t>Top 10%</t>
  </si>
  <si>
    <t>The 24 highest maximum annual flooded-area percentages among the 239 drainage catchments; these values reproduce manuscript Table 5.</t>
  </si>
  <si>
    <t>Classification</t>
  </si>
  <si>
    <t>Beta tie rule</t>
  </si>
  <si>
    <t>For the representative beta class, exact ties in NSE(mean_q) are resolved by selecting the lowest k.</t>
  </si>
  <si>
    <t>Reproducibility</t>
  </si>
  <si>
    <t>Workbook linkage</t>
  </si>
  <si>
    <t>Flood Metrics stores the annual GIS-derived areas and calculation formulas. Flood Summary links to those formulas to reproduce manuscript Tables 4 and 5.</t>
  </si>
  <si>
    <t>Minsoo Seok, Changmin Park, Yongwon Seo</t>
  </si>
  <si>
    <t>Citywide Drainage Network Analysis Using a Scale-Proportional Gibbs’ Model</t>
    <phoneticPr fontId="14" type="noConversion"/>
  </si>
  <si>
    <t>Journal of Flood Risk Management</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</si>
</sst>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0000"/>
    <numFmt numFmtId="177" formatCode="0.0000E+00"/>
    <numFmt numFmtId="178" formatCode="0.0%"/>
    <numFmt numFmtId="179" formatCode="0.000000000"/>
    <numFmt numFmtId="180" formatCode="0.0000"/>
    <numFmt numFmtId="181" formatCode="0.0"/>
  </numFmts>
  <fonts count="16" x14ac:knownFonts="1">
    <font>
      <sz val="11"/>
      <color theme="1"/>
      <name val="맑은 고딕"/>
    </font>
    <font>
      <b/>
      <sz val="18"/>
      <color rgb="FFFFFFFF"/>
      <name val="Aptos Display"/>
      <family val="2"/>
    </font>
    <font>
      <b/>
      <sz val="10"/>
      <color rgb="FF16324F"/>
      <name val="Aptos"/>
      <family val="2"/>
    </font>
    <font>
      <sz val="10"/>
      <name val="Aptos"/>
      <family val="2"/>
    </font>
    <font>
      <sz val="12"/>
      <color theme="10"/>
      <name val="맑은 고딕"/>
      <family val="3"/>
      <charset val="129"/>
    </font>
    <font>
      <b/>
      <sz val="10"/>
      <color rgb="FFFFFFFF"/>
      <name val="Aptos"/>
      <family val="2"/>
    </font>
    <font>
      <sz val="9"/>
      <name val="Aptos"/>
      <family val="2"/>
    </font>
    <font>
      <b/>
      <sz val="11"/>
      <color rgb="FFFFFFFF"/>
      <name val="Aptos"/>
      <family val="2"/>
    </font>
    <font>
      <sz val="10"/>
      <color theme="1"/>
      <name val="Aptos"/>
      <family val="2"/>
    </font>
    <font>
      <b/>
      <sz val="9"/>
      <color rgb="FFFFFFFF"/>
      <name val="Aptos"/>
      <family val="2"/>
    </font>
    <font>
      <sz val="9"/>
      <color theme="1"/>
      <name val="Aptos"/>
      <family val="2"/>
    </font>
    <font>
      <b/>
      <sz val="11"/>
      <color rgb="FF16324F"/>
      <name val="Aptos"/>
      <family val="2"/>
    </font>
    <font>
      <b/>
      <sz val="9"/>
      <color rgb="FF16324F"/>
      <name val="Aptos"/>
      <family val="2"/>
    </font>
    <font>
      <b/>
      <sz val="9"/>
      <color rgb="FF374151"/>
      <name val="Aptos"/>
      <family val="2"/>
    </font>
    <font>
      <sz val="8"/>
      <name val="돋움"/>
      <family val="3"/>
      <charset val="129"/>
    </font>
    <font>
      <sz val="10"/>
      <name val="Aptos"/>
      <family val="2"/>
    </font>
  </fonts>
  <fills count="9">
    <fill>
      <patternFill patternType="none"/>
    </fill>
    <fill>
      <patternFill patternType="gray125"/>
    </fill>
    <fill>
      <patternFill patternType="solid">
        <fgColor rgb="FF16324F"/>
      </patternFill>
    </fill>
    <fill>
      <patternFill patternType="solid">
        <fgColor rgb="FFDDEFF0"/>
      </patternFill>
    </fill>
    <fill>
      <patternFill patternType="solid">
        <fgColor rgb="FFF4F8FA"/>
      </patternFill>
    </fill>
    <fill>
      <patternFill patternType="solid">
        <fgColor rgb="FF007C83"/>
      </patternFill>
    </fill>
    <fill>
      <patternFill patternType="solid">
        <fgColor rgb="FFDDEFF0"/>
      </patternFill>
    </fill>
    <fill>
      <patternFill patternType="solid">
        <fgColor rgb="FF16324F"/>
      </patternFill>
    </fill>
    <fill>
      <patternFill patternType="solid">
        <fgColor rgb="FF00878A"/>
      </patternFill>
    </fill>
  </fills>
  <borders count="3">
    <border>
      <left/>
      <right/>
      <top/>
      <bottom/>
      <diagonal/>
    </border>
    <border>
      <left/>
      <right/>
      <top/>
      <bottom style="thin">
        <color rgb="FFD4D9DE"/>
      </bottom>
      <diagonal/>
    </border>
    <border>
      <left/>
      <right/>
      <top/>
      <bottom style="medium">
        <color rgb="FF007C83"/>
      </bottom>
      <diagonal/>
    </border>
  </borders>
  <cellStyleXfs count="2">
    <xf numFmtId="0" fontId="0" fillId="0" borderId="0"/>
    <xf numFmtId="0" fontId="4" fillId="0" borderId="0"/>
  </cellStyleXfs>
  <cellXfs count="57">
    <xf numFmtId="0" fontId="0" fillId="0" borderId="0" xfId="0"/>
    <xf numFmtId="0" fontId="2" fillId="3" borderId="1" xfId="0" applyFont="1" applyFill="1" applyBorder="1" applyAlignment="1">
      <alignment vertical="top" wrapText="1"/>
    </xf>
    <xf numFmtId="0" fontId="3" fillId="0" borderId="1" xfId="0" applyFont="1" applyBorder="1" applyAlignment="1">
      <alignment vertical="top" wrapText="1"/>
    </xf>
    <xf numFmtId="0" fontId="4" fillId="0" borderId="0" xfId="1"/>
    <xf numFmtId="0" fontId="5" fillId="2" borderId="2" xfId="0" applyFont="1" applyFill="1" applyBorder="1" applyAlignment="1">
      <alignment horizontal="center" vertical="center" wrapText="1"/>
    </xf>
    <xf numFmtId="0" fontId="6" fillId="4" borderId="1" xfId="0" applyFont="1" applyFill="1" applyBorder="1" applyAlignment="1">
      <alignment vertical="top"/>
    </xf>
    <xf numFmtId="176" fontId="6" fillId="4" borderId="1" xfId="0" applyNumberFormat="1" applyFont="1" applyFill="1" applyBorder="1" applyAlignment="1">
      <alignment vertical="top"/>
    </xf>
    <xf numFmtId="0" fontId="6" fillId="0" borderId="1" xfId="0" applyFont="1" applyBorder="1" applyAlignment="1">
      <alignment vertical="top"/>
    </xf>
    <xf numFmtId="176" fontId="6" fillId="0" borderId="1" xfId="0" applyNumberFormat="1" applyFont="1" applyBorder="1" applyAlignment="1">
      <alignment vertical="top"/>
    </xf>
    <xf numFmtId="177" fontId="6" fillId="4" borderId="1" xfId="0" applyNumberFormat="1" applyFont="1" applyFill="1" applyBorder="1" applyAlignment="1">
      <alignment vertical="top"/>
    </xf>
    <xf numFmtId="177" fontId="6" fillId="0" borderId="1" xfId="0" applyNumberFormat="1" applyFont="1" applyBorder="1" applyAlignment="1">
      <alignment vertical="top"/>
    </xf>
    <xf numFmtId="0" fontId="0" fillId="0" borderId="1" xfId="0" applyBorder="1"/>
    <xf numFmtId="0" fontId="7" fillId="5" borderId="0" xfId="0" applyFont="1" applyFill="1" applyAlignment="1">
      <alignment horizontal="center"/>
    </xf>
    <xf numFmtId="178" fontId="0" fillId="0" borderId="1" xfId="0" applyNumberFormat="1" applyBorder="1"/>
    <xf numFmtId="0" fontId="2" fillId="6" borderId="0" xfId="0" applyFont="1" applyFill="1" applyAlignment="1">
      <alignment wrapText="1"/>
    </xf>
    <xf numFmtId="0" fontId="2" fillId="6" borderId="1" xfId="0" applyFont="1" applyFill="1" applyBorder="1" applyAlignment="1">
      <alignment wrapText="1"/>
    </xf>
    <xf numFmtId="0" fontId="8" fillId="0" borderId="0" xfId="0" applyFont="1" applyAlignment="1">
      <alignment wrapText="1"/>
    </xf>
    <xf numFmtId="0" fontId="8" fillId="0" borderId="1" xfId="0" applyFont="1" applyBorder="1" applyAlignment="1">
      <alignment wrapText="1"/>
    </xf>
    <xf numFmtId="0" fontId="9" fillId="7" borderId="2" xfId="0" applyFont="1" applyFill="1" applyBorder="1" applyAlignment="1">
      <alignment horizontal="center" vertical="center" wrapText="1"/>
    </xf>
    <xf numFmtId="0" fontId="10" fillId="0" borderId="0" xfId="0" applyFont="1"/>
    <xf numFmtId="0" fontId="10" fillId="0" borderId="1" xfId="0" applyFont="1" applyBorder="1"/>
    <xf numFmtId="0" fontId="10" fillId="0" borderId="0" xfId="0" applyFont="1" applyAlignment="1">
      <alignment vertical="center"/>
    </xf>
    <xf numFmtId="0" fontId="10" fillId="0" borderId="1" xfId="0" applyFont="1" applyBorder="1" applyAlignment="1">
      <alignment vertical="center"/>
    </xf>
    <xf numFmtId="0" fontId="10" fillId="0" borderId="0" xfId="0" applyFont="1" applyAlignment="1">
      <alignment horizontal="center" vertical="center"/>
    </xf>
    <xf numFmtId="0" fontId="10" fillId="0" borderId="1" xfId="0" applyFont="1" applyBorder="1" applyAlignment="1">
      <alignment horizontal="center" vertical="center"/>
    </xf>
    <xf numFmtId="179" fontId="10" fillId="0" borderId="0" xfId="0" applyNumberFormat="1" applyFont="1" applyAlignment="1">
      <alignment vertical="center"/>
    </xf>
    <xf numFmtId="179" fontId="10" fillId="0" borderId="1" xfId="0" applyNumberFormat="1" applyFont="1" applyBorder="1" applyAlignment="1">
      <alignment vertical="center"/>
    </xf>
    <xf numFmtId="2" fontId="10" fillId="0" borderId="0" xfId="0" applyNumberFormat="1" applyFont="1" applyAlignment="1">
      <alignment vertical="center"/>
    </xf>
    <xf numFmtId="2" fontId="10" fillId="0" borderId="1" xfId="0" applyNumberFormat="1" applyFont="1" applyBorder="1" applyAlignment="1">
      <alignment vertical="center"/>
    </xf>
    <xf numFmtId="2" fontId="10" fillId="0" borderId="0" xfId="0" applyNumberFormat="1" applyFont="1" applyAlignment="1">
      <alignment horizontal="center" vertical="center"/>
    </xf>
    <xf numFmtId="2" fontId="10" fillId="0" borderId="1" xfId="0" applyNumberFormat="1" applyFont="1" applyBorder="1" applyAlignment="1">
      <alignment horizontal="center" vertical="center"/>
    </xf>
    <xf numFmtId="0" fontId="9" fillId="8" borderId="0" xfId="0" applyFont="1" applyFill="1" applyAlignment="1">
      <alignment horizontal="center" vertical="center" wrapText="1"/>
    </xf>
    <xf numFmtId="0" fontId="10" fillId="0" borderId="0" xfId="0" applyFont="1" applyAlignment="1">
      <alignment horizontal="center"/>
    </xf>
    <xf numFmtId="0" fontId="10" fillId="0" borderId="1" xfId="0" applyFont="1" applyBorder="1" applyAlignment="1">
      <alignment horizontal="center"/>
    </xf>
    <xf numFmtId="180" fontId="10" fillId="0" borderId="0" xfId="0" applyNumberFormat="1" applyFont="1"/>
    <xf numFmtId="180" fontId="10" fillId="0" borderId="1" xfId="0" applyNumberFormat="1" applyFont="1" applyBorder="1"/>
    <xf numFmtId="2" fontId="10" fillId="0" borderId="0" xfId="0" applyNumberFormat="1" applyFont="1"/>
    <xf numFmtId="2" fontId="10" fillId="0" borderId="1" xfId="0" applyNumberFormat="1" applyFont="1" applyBorder="1"/>
    <xf numFmtId="181" fontId="10" fillId="0" borderId="0" xfId="0" applyNumberFormat="1" applyFont="1" applyAlignment="1">
      <alignment horizontal="center"/>
    </xf>
    <xf numFmtId="181" fontId="10" fillId="0" borderId="1" xfId="0" applyNumberFormat="1" applyFont="1" applyBorder="1" applyAlignment="1">
      <alignment horizontal="center"/>
    </xf>
    <xf numFmtId="179" fontId="10" fillId="0" borderId="0" xfId="0" applyNumberFormat="1" applyFont="1"/>
    <xf numFmtId="179" fontId="10" fillId="0" borderId="1" xfId="0" applyNumberFormat="1" applyFont="1" applyBorder="1"/>
    <xf numFmtId="0" fontId="5" fillId="8" borderId="0" xfId="0" applyFont="1" applyFill="1" applyAlignment="1">
      <alignment horizontal="center" vertical="center" wrapText="1"/>
    </xf>
    <xf numFmtId="0" fontId="12" fillId="6" borderId="0" xfId="0" applyFont="1" applyFill="1" applyAlignment="1">
      <alignment wrapText="1"/>
    </xf>
    <xf numFmtId="0" fontId="12" fillId="6" borderId="1" xfId="0" applyFont="1" applyFill="1" applyBorder="1" applyAlignment="1">
      <alignment wrapText="1"/>
    </xf>
    <xf numFmtId="0" fontId="13" fillId="0" borderId="0" xfId="0" applyFont="1" applyAlignment="1">
      <alignment wrapText="1"/>
    </xf>
    <xf numFmtId="0" fontId="13" fillId="0" borderId="1" xfId="0" applyFont="1" applyBorder="1" applyAlignment="1">
      <alignment wrapText="1"/>
    </xf>
    <xf numFmtId="0" fontId="10" fillId="0" borderId="0" xfId="0" applyFont="1" applyAlignment="1">
      <alignment wrapText="1"/>
    </xf>
    <xf numFmtId="0" fontId="10" fillId="0" borderId="1" xfId="0" applyFont="1" applyBorder="1" applyAlignment="1">
      <alignment wrapText="1"/>
    </xf>
    <xf numFmtId="1" fontId="10" fillId="0" borderId="0" xfId="0" applyNumberFormat="1" applyFont="1" applyAlignment="1">
      <alignment horizontal="center" vertical="center"/>
    </xf>
    <xf numFmtId="1" fontId="10" fillId="0" borderId="1" xfId="0" applyNumberFormat="1" applyFont="1" applyBorder="1" applyAlignment="1">
      <alignment horizontal="center" vertical="center"/>
    </xf>
    <xf numFmtId="0" fontId="15" fillId="0" borderId="1" xfId="0" applyFont="1" applyBorder="1" applyAlignment="1">
      <alignment vertical="top" wrapText="1"/>
    </xf>
    <xf numFmtId="0" fontId="1" fillId="7" borderId="0" xfId="0" applyFont="1" applyFill="1"/>
    <xf numFmtId="0" fontId="1" fillId="7" borderId="0" xfId="0" applyFont="1" applyFill="1" applyAlignment="1">
      <alignment vertical="center"/>
    </xf>
    <xf numFmtId="0" fontId="1" fillId="2" borderId="0" xfId="0" applyFont="1" applyFill="1" applyAlignment="1">
      <alignment vertical="center"/>
    </xf>
    <xf numFmtId="0" fontId="0" fillId="0" borderId="0" xfId="0"/>
    <xf numFmtId="0" fontId="11" fillId="6" borderId="0" xfId="0" applyFont="1" applyFill="1"/>
  </cellXfs>
  <cellStyles count="2">
    <cellStyle name="표준" xfId="0" builtinId="0"/>
    <cellStyle name="하이퍼링크" xfId="1" xr:uid="{00000000-0005-0000-0000-000001000000}"/>
  </cellStyles>
  <dxfs count="1">
    <dxf>
      <fill>
        <patternFill>
          <bgColor rgb="FFFFF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nlinelibrary.wiley.com/page/journal/10991085/homepage/forauthors.html" TargetMode="External"/><Relationship Id="rId1" Type="http://schemas.openxmlformats.org/officeDocument/2006/relationships/hyperlink" Target="https://github.com/seokminsu99-byte/FMT_plug_PLE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showGridLines="0" tabSelected="1" workbookViewId="0">
      <selection activeCell="B4" sqref="B4"/>
    </sheetView>
  </sheetViews>
  <sheetFormatPr defaultRowHeight="16.5" x14ac:dyDescent="0.3"/>
  <cols>
    <col min="1" max="1" width="33" customWidth="1"/>
    <col min="2" max="2" width="115" customWidth="1"/>
  </cols>
  <sheetData>
    <row r="1" spans="1:2" ht="33.950000000000003" customHeight="1" x14ac:dyDescent="0.4">
      <c r="A1" s="53" t="s">
        <v>0</v>
      </c>
      <c r="B1" s="52"/>
    </row>
    <row r="3" spans="1:2" ht="24" customHeight="1" x14ac:dyDescent="0.3">
      <c r="A3" s="1" t="s">
        <v>1</v>
      </c>
      <c r="B3" s="51" t="s">
        <v>614</v>
      </c>
    </row>
    <row r="4" spans="1:2" ht="24" customHeight="1" x14ac:dyDescent="0.3">
      <c r="A4" s="1" t="s">
        <v>2</v>
      </c>
      <c r="B4" s="2" t="s">
        <v>615</v>
      </c>
    </row>
    <row r="5" spans="1:2" ht="24" customHeight="1" x14ac:dyDescent="0.3">
      <c r="A5" s="1" t="s">
        <v>3</v>
      </c>
      <c r="B5" s="2" t="s">
        <v>613</v>
      </c>
    </row>
    <row r="6" spans="1:2" ht="24" customHeight="1" x14ac:dyDescent="0.3">
      <c r="A6" s="1" t="s">
        <v>4</v>
      </c>
      <c r="B6" s="2" t="s">
        <v>5</v>
      </c>
    </row>
    <row r="7" spans="1:2" ht="24" customHeight="1" x14ac:dyDescent="0.3">
      <c r="A7" s="1" t="s">
        <v>6</v>
      </c>
      <c r="B7" s="2" t="s">
        <v>7</v>
      </c>
    </row>
    <row r="8" spans="1:2" ht="24" customHeight="1" x14ac:dyDescent="0.3">
      <c r="A8" s="1" t="s">
        <v>8</v>
      </c>
      <c r="B8" s="3" t="s">
        <v>9</v>
      </c>
    </row>
    <row r="9" spans="1:2" ht="24" customHeight="1" x14ac:dyDescent="0.3">
      <c r="A9" s="1" t="s">
        <v>10</v>
      </c>
      <c r="B9" s="3" t="s">
        <v>11</v>
      </c>
    </row>
    <row r="10" spans="1:2" ht="33.950000000000003" customHeight="1" x14ac:dyDescent="0.3">
      <c r="A10" s="1" t="s">
        <v>12</v>
      </c>
      <c r="B10" s="2" t="s">
        <v>13</v>
      </c>
    </row>
    <row r="11" spans="1:2" ht="33.950000000000003" customHeight="1" x14ac:dyDescent="0.3">
      <c r="A11" s="1" t="s">
        <v>14</v>
      </c>
      <c r="B11" s="2" t="s">
        <v>15</v>
      </c>
    </row>
    <row r="12" spans="1:2" ht="33.950000000000003" customHeight="1" x14ac:dyDescent="0.3">
      <c r="A12" s="1" t="s">
        <v>16</v>
      </c>
      <c r="B12" s="2" t="s">
        <v>17</v>
      </c>
    </row>
    <row r="13" spans="1:2" ht="33.950000000000003" customHeight="1" x14ac:dyDescent="0.3">
      <c r="A13" s="1" t="s">
        <v>18</v>
      </c>
      <c r="B13" s="2" t="s">
        <v>19</v>
      </c>
    </row>
    <row r="14" spans="1:2" ht="33.950000000000003" customHeight="1" x14ac:dyDescent="0.3">
      <c r="A14" s="1" t="s">
        <v>20</v>
      </c>
      <c r="B14" s="2" t="s">
        <v>21</v>
      </c>
    </row>
    <row r="15" spans="1:2" ht="36" customHeight="1" x14ac:dyDescent="0.3">
      <c r="A15" s="14"/>
      <c r="B15" s="16"/>
    </row>
    <row r="16" spans="1:2" ht="36" customHeight="1" x14ac:dyDescent="0.3">
      <c r="A16" s="14" t="s">
        <v>22</v>
      </c>
      <c r="B16" s="16" t="s">
        <v>23</v>
      </c>
    </row>
    <row r="17" spans="1:2" ht="36" customHeight="1" x14ac:dyDescent="0.3">
      <c r="A17" s="14" t="s">
        <v>24</v>
      </c>
      <c r="B17" s="16" t="s">
        <v>25</v>
      </c>
    </row>
    <row r="18" spans="1:2" ht="36" customHeight="1" x14ac:dyDescent="0.3">
      <c r="A18" s="14" t="s">
        <v>26</v>
      </c>
      <c r="B18" s="16" t="s">
        <v>27</v>
      </c>
    </row>
    <row r="19" spans="1:2" ht="36" customHeight="1" x14ac:dyDescent="0.3">
      <c r="A19" s="14" t="s">
        <v>28</v>
      </c>
      <c r="B19" s="16" t="s">
        <v>29</v>
      </c>
    </row>
    <row r="20" spans="1:2" ht="36" customHeight="1" x14ac:dyDescent="0.3">
      <c r="A20" s="14" t="s">
        <v>30</v>
      </c>
      <c r="B20" s="16" t="s">
        <v>31</v>
      </c>
    </row>
    <row r="21" spans="1:2" ht="36" customHeight="1" x14ac:dyDescent="0.3">
      <c r="A21" s="15" t="s">
        <v>32</v>
      </c>
      <c r="B21" s="17" t="s">
        <v>33</v>
      </c>
    </row>
  </sheetData>
  <mergeCells count="1">
    <mergeCell ref="A1:B1"/>
  </mergeCells>
  <phoneticPr fontId="14" type="noConversion"/>
  <hyperlinks>
    <hyperlink ref="B8" r:id="rId1" xr:uid="{00000000-0004-0000-0000-000000000000}"/>
    <hyperlink ref="B9"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0"/>
  <sheetViews>
    <sheetView showGridLines="0" workbookViewId="0"/>
  </sheetViews>
  <sheetFormatPr defaultRowHeight="16.5" x14ac:dyDescent="0.3"/>
  <cols>
    <col min="1" max="1" width="15.625" customWidth="1"/>
    <col min="2" max="2" width="24.625" customWidth="1"/>
    <col min="3" max="3" width="20.625" customWidth="1"/>
    <col min="4" max="4" width="14.625" customWidth="1"/>
    <col min="5" max="5" width="18.625" customWidth="1"/>
    <col min="6" max="6" width="20.625" customWidth="1"/>
  </cols>
  <sheetData>
    <row r="1" spans="1:6" ht="32.1" customHeight="1" x14ac:dyDescent="0.3">
      <c r="A1" s="4" t="s">
        <v>34</v>
      </c>
      <c r="B1" s="4" t="s">
        <v>35</v>
      </c>
      <c r="C1" s="4" t="s">
        <v>36</v>
      </c>
      <c r="D1" s="4" t="s">
        <v>37</v>
      </c>
      <c r="E1" s="4" t="s">
        <v>38</v>
      </c>
      <c r="F1" s="4" t="s">
        <v>39</v>
      </c>
    </row>
    <row r="2" spans="1:6" x14ac:dyDescent="0.3">
      <c r="A2" s="5">
        <v>1</v>
      </c>
      <c r="B2" s="5" t="s">
        <v>40</v>
      </c>
      <c r="C2" s="5">
        <v>-3</v>
      </c>
      <c r="D2" s="5">
        <v>-3</v>
      </c>
      <c r="E2" s="5" t="s">
        <v>41</v>
      </c>
      <c r="F2" s="5" t="s">
        <v>42</v>
      </c>
    </row>
    <row r="3" spans="1:6" x14ac:dyDescent="0.3">
      <c r="A3" s="7">
        <v>2</v>
      </c>
      <c r="B3" s="7" t="s">
        <v>43</v>
      </c>
      <c r="C3" s="7">
        <v>-2</v>
      </c>
      <c r="D3" s="7">
        <v>-2</v>
      </c>
      <c r="E3" s="7" t="s">
        <v>44</v>
      </c>
      <c r="F3" s="7" t="s">
        <v>42</v>
      </c>
    </row>
    <row r="4" spans="1:6" x14ac:dyDescent="0.3">
      <c r="A4" s="5">
        <v>3</v>
      </c>
      <c r="B4" s="5" t="s">
        <v>45</v>
      </c>
      <c r="C4" s="5">
        <v>-2</v>
      </c>
      <c r="D4" s="5">
        <v>-4</v>
      </c>
      <c r="E4" s="5" t="s">
        <v>46</v>
      </c>
      <c r="F4" s="5" t="s">
        <v>42</v>
      </c>
    </row>
    <row r="5" spans="1:6" x14ac:dyDescent="0.3">
      <c r="A5" s="7">
        <v>4</v>
      </c>
      <c r="B5" s="7" t="s">
        <v>47</v>
      </c>
      <c r="C5" s="7">
        <v>-1</v>
      </c>
      <c r="D5" s="7">
        <v>-2</v>
      </c>
      <c r="E5" s="7" t="s">
        <v>44</v>
      </c>
      <c r="F5" s="7" t="s">
        <v>42</v>
      </c>
    </row>
    <row r="6" spans="1:6" x14ac:dyDescent="0.3">
      <c r="A6" s="5">
        <v>5</v>
      </c>
      <c r="B6" s="5" t="s">
        <v>48</v>
      </c>
      <c r="C6" s="5">
        <v>-4</v>
      </c>
      <c r="D6" s="5">
        <v>-4</v>
      </c>
      <c r="E6" s="5" t="s">
        <v>46</v>
      </c>
      <c r="F6" s="5" t="s">
        <v>42</v>
      </c>
    </row>
    <row r="7" spans="1:6" x14ac:dyDescent="0.3">
      <c r="A7" s="7">
        <v>6</v>
      </c>
      <c r="B7" s="7" t="s">
        <v>49</v>
      </c>
      <c r="C7" s="7">
        <v>3</v>
      </c>
      <c r="D7" s="7">
        <v>-2</v>
      </c>
      <c r="E7" s="7" t="s">
        <v>44</v>
      </c>
      <c r="F7" s="7" t="s">
        <v>42</v>
      </c>
    </row>
    <row r="8" spans="1:6" x14ac:dyDescent="0.3">
      <c r="A8" s="5">
        <v>7</v>
      </c>
      <c r="B8" s="5" t="s">
        <v>50</v>
      </c>
      <c r="C8" s="5">
        <v>0</v>
      </c>
      <c r="D8" s="5">
        <v>-2</v>
      </c>
      <c r="E8" s="5" t="s">
        <v>44</v>
      </c>
      <c r="F8" s="5" t="s">
        <v>42</v>
      </c>
    </row>
    <row r="9" spans="1:6" x14ac:dyDescent="0.3">
      <c r="A9" s="7">
        <v>8</v>
      </c>
      <c r="B9" s="7" t="s">
        <v>51</v>
      </c>
      <c r="C9" s="7">
        <v>1</v>
      </c>
      <c r="D9" s="7">
        <v>1</v>
      </c>
      <c r="E9" s="7" t="s">
        <v>52</v>
      </c>
      <c r="F9" s="7" t="s">
        <v>42</v>
      </c>
    </row>
    <row r="10" spans="1:6" x14ac:dyDescent="0.3">
      <c r="A10" s="5">
        <v>9</v>
      </c>
      <c r="B10" s="5" t="s">
        <v>53</v>
      </c>
      <c r="C10" s="5">
        <v>-2</v>
      </c>
      <c r="D10" s="5">
        <v>-3</v>
      </c>
      <c r="E10" s="5" t="s">
        <v>41</v>
      </c>
      <c r="F10" s="5" t="s">
        <v>42</v>
      </c>
    </row>
    <row r="11" spans="1:6" x14ac:dyDescent="0.3">
      <c r="A11" s="7">
        <v>10</v>
      </c>
      <c r="B11" s="7" t="s">
        <v>54</v>
      </c>
      <c r="C11" s="7">
        <v>-1</v>
      </c>
      <c r="D11" s="7">
        <v>-1</v>
      </c>
      <c r="E11" s="7" t="s">
        <v>55</v>
      </c>
      <c r="F11" s="7" t="s">
        <v>42</v>
      </c>
    </row>
    <row r="12" spans="1:6" x14ac:dyDescent="0.3">
      <c r="A12" s="5">
        <v>11</v>
      </c>
      <c r="B12" s="5" t="s">
        <v>56</v>
      </c>
      <c r="C12" s="5">
        <v>3</v>
      </c>
      <c r="D12" s="5">
        <v>-1</v>
      </c>
      <c r="E12" s="5" t="s">
        <v>55</v>
      </c>
      <c r="F12" s="5" t="s">
        <v>42</v>
      </c>
    </row>
    <row r="13" spans="1:6" x14ac:dyDescent="0.3">
      <c r="A13" s="7">
        <v>12</v>
      </c>
      <c r="B13" s="7" t="s">
        <v>57</v>
      </c>
      <c r="C13" s="7">
        <v>-4</v>
      </c>
      <c r="D13" s="7">
        <v>-2</v>
      </c>
      <c r="E13" s="7" t="s">
        <v>44</v>
      </c>
      <c r="F13" s="7" t="s">
        <v>42</v>
      </c>
    </row>
    <row r="14" spans="1:6" x14ac:dyDescent="0.3">
      <c r="A14" s="5">
        <v>13</v>
      </c>
      <c r="B14" s="5" t="s">
        <v>58</v>
      </c>
      <c r="C14" s="5">
        <v>-2</v>
      </c>
      <c r="D14" s="5">
        <v>-2</v>
      </c>
      <c r="E14" s="5" t="s">
        <v>44</v>
      </c>
      <c r="F14" s="5" t="s">
        <v>42</v>
      </c>
    </row>
    <row r="15" spans="1:6" x14ac:dyDescent="0.3">
      <c r="A15" s="7">
        <v>14</v>
      </c>
      <c r="B15" s="7" t="s">
        <v>59</v>
      </c>
      <c r="C15" s="7">
        <v>-3</v>
      </c>
      <c r="D15" s="7">
        <v>-4</v>
      </c>
      <c r="E15" s="7" t="s">
        <v>46</v>
      </c>
      <c r="F15" s="7" t="s">
        <v>42</v>
      </c>
    </row>
    <row r="16" spans="1:6" x14ac:dyDescent="0.3">
      <c r="A16" s="5">
        <v>15</v>
      </c>
      <c r="B16" s="5" t="s">
        <v>60</v>
      </c>
      <c r="C16" s="5">
        <v>1</v>
      </c>
      <c r="D16" s="5">
        <v>-3</v>
      </c>
      <c r="E16" s="5" t="s">
        <v>41</v>
      </c>
      <c r="F16" s="5" t="s">
        <v>42</v>
      </c>
    </row>
    <row r="17" spans="1:6" x14ac:dyDescent="0.3">
      <c r="A17" s="7">
        <v>16</v>
      </c>
      <c r="B17" s="7" t="s">
        <v>61</v>
      </c>
      <c r="C17" s="7">
        <v>-2</v>
      </c>
      <c r="D17" s="7">
        <v>-2</v>
      </c>
      <c r="E17" s="7" t="s">
        <v>44</v>
      </c>
      <c r="F17" s="7" t="s">
        <v>42</v>
      </c>
    </row>
    <row r="18" spans="1:6" x14ac:dyDescent="0.3">
      <c r="A18" s="5">
        <v>17</v>
      </c>
      <c r="B18" s="5" t="s">
        <v>62</v>
      </c>
      <c r="C18" s="5">
        <v>2</v>
      </c>
      <c r="D18" s="5">
        <v>-3</v>
      </c>
      <c r="E18" s="5" t="s">
        <v>41</v>
      </c>
      <c r="F18" s="5" t="s">
        <v>42</v>
      </c>
    </row>
    <row r="19" spans="1:6" x14ac:dyDescent="0.3">
      <c r="A19" s="7">
        <v>18</v>
      </c>
      <c r="B19" s="7" t="s">
        <v>63</v>
      </c>
      <c r="C19" s="7">
        <v>-4</v>
      </c>
      <c r="D19" s="7">
        <v>-3</v>
      </c>
      <c r="E19" s="7" t="s">
        <v>41</v>
      </c>
      <c r="F19" s="7" t="s">
        <v>42</v>
      </c>
    </row>
    <row r="20" spans="1:6" x14ac:dyDescent="0.3">
      <c r="A20" s="5">
        <v>19</v>
      </c>
      <c r="B20" s="5" t="s">
        <v>64</v>
      </c>
      <c r="C20" s="5">
        <v>3</v>
      </c>
      <c r="D20" s="5">
        <v>-2</v>
      </c>
      <c r="E20" s="5" t="s">
        <v>44</v>
      </c>
      <c r="F20" s="5" t="s">
        <v>42</v>
      </c>
    </row>
    <row r="21" spans="1:6" x14ac:dyDescent="0.3">
      <c r="A21" s="7">
        <v>20</v>
      </c>
      <c r="B21" s="7" t="s">
        <v>65</v>
      </c>
      <c r="C21" s="7">
        <v>-2</v>
      </c>
      <c r="D21" s="7">
        <v>-2</v>
      </c>
      <c r="E21" s="7" t="s">
        <v>44</v>
      </c>
      <c r="F21" s="7" t="s">
        <v>42</v>
      </c>
    </row>
    <row r="22" spans="1:6" x14ac:dyDescent="0.3">
      <c r="A22" s="5">
        <v>21</v>
      </c>
      <c r="B22" s="5" t="s">
        <v>66</v>
      </c>
      <c r="C22" s="5">
        <v>1</v>
      </c>
      <c r="D22" s="5">
        <v>-3</v>
      </c>
      <c r="E22" s="5" t="s">
        <v>41</v>
      </c>
      <c r="F22" s="5" t="s">
        <v>42</v>
      </c>
    </row>
    <row r="23" spans="1:6" x14ac:dyDescent="0.3">
      <c r="A23" s="7">
        <v>22</v>
      </c>
      <c r="B23" s="7" t="s">
        <v>67</v>
      </c>
      <c r="C23" s="7">
        <v>-2</v>
      </c>
      <c r="D23" s="7">
        <v>-2</v>
      </c>
      <c r="E23" s="7" t="s">
        <v>44</v>
      </c>
      <c r="F23" s="7" t="s">
        <v>42</v>
      </c>
    </row>
    <row r="24" spans="1:6" x14ac:dyDescent="0.3">
      <c r="A24" s="5">
        <v>23</v>
      </c>
      <c r="B24" s="5" t="s">
        <v>68</v>
      </c>
      <c r="C24" s="5">
        <v>1</v>
      </c>
      <c r="D24" s="5">
        <v>-2</v>
      </c>
      <c r="E24" s="5" t="s">
        <v>44</v>
      </c>
      <c r="F24" s="5" t="s">
        <v>42</v>
      </c>
    </row>
    <row r="25" spans="1:6" x14ac:dyDescent="0.3">
      <c r="A25" s="7">
        <v>24</v>
      </c>
      <c r="B25" s="7" t="s">
        <v>69</v>
      </c>
      <c r="C25" s="7">
        <v>2</v>
      </c>
      <c r="D25" s="7">
        <v>-2</v>
      </c>
      <c r="E25" s="7" t="s">
        <v>44</v>
      </c>
      <c r="F25" s="7" t="s">
        <v>42</v>
      </c>
    </row>
    <row r="26" spans="1:6" x14ac:dyDescent="0.3">
      <c r="A26" s="5">
        <v>25</v>
      </c>
      <c r="B26" s="5" t="s">
        <v>70</v>
      </c>
      <c r="C26" s="5">
        <v>3</v>
      </c>
      <c r="D26" s="5">
        <v>-2</v>
      </c>
      <c r="E26" s="5" t="s">
        <v>44</v>
      </c>
      <c r="F26" s="5" t="s">
        <v>42</v>
      </c>
    </row>
    <row r="27" spans="1:6" x14ac:dyDescent="0.3">
      <c r="A27" s="7">
        <v>26</v>
      </c>
      <c r="B27" s="7" t="s">
        <v>71</v>
      </c>
      <c r="C27" s="7">
        <v>-1</v>
      </c>
      <c r="D27" s="7">
        <v>-2</v>
      </c>
      <c r="E27" s="7" t="s">
        <v>44</v>
      </c>
      <c r="F27" s="7" t="s">
        <v>42</v>
      </c>
    </row>
    <row r="28" spans="1:6" x14ac:dyDescent="0.3">
      <c r="A28" s="5">
        <v>27</v>
      </c>
      <c r="B28" s="5" t="s">
        <v>72</v>
      </c>
      <c r="C28" s="5">
        <v>1</v>
      </c>
      <c r="D28" s="5">
        <v>-3</v>
      </c>
      <c r="E28" s="5" t="s">
        <v>41</v>
      </c>
      <c r="F28" s="5" t="s">
        <v>42</v>
      </c>
    </row>
    <row r="29" spans="1:6" x14ac:dyDescent="0.3">
      <c r="A29" s="7">
        <v>28</v>
      </c>
      <c r="B29" s="7" t="s">
        <v>73</v>
      </c>
      <c r="C29" s="7">
        <v>-1</v>
      </c>
      <c r="D29" s="7">
        <v>-2</v>
      </c>
      <c r="E29" s="7" t="s">
        <v>44</v>
      </c>
      <c r="F29" s="7" t="s">
        <v>42</v>
      </c>
    </row>
    <row r="30" spans="1:6" x14ac:dyDescent="0.3">
      <c r="A30" s="5">
        <v>29</v>
      </c>
      <c r="B30" s="5" t="s">
        <v>74</v>
      </c>
      <c r="C30" s="5">
        <v>-2</v>
      </c>
      <c r="D30" s="5">
        <v>-2</v>
      </c>
      <c r="E30" s="5" t="s">
        <v>44</v>
      </c>
      <c r="F30" s="5" t="s">
        <v>42</v>
      </c>
    </row>
    <row r="31" spans="1:6" x14ac:dyDescent="0.3">
      <c r="A31" s="7">
        <v>30</v>
      </c>
      <c r="B31" s="7" t="s">
        <v>75</v>
      </c>
      <c r="C31" s="7">
        <v>-3</v>
      </c>
      <c r="D31" s="7">
        <v>-3</v>
      </c>
      <c r="E31" s="7" t="s">
        <v>41</v>
      </c>
      <c r="F31" s="7" t="s">
        <v>42</v>
      </c>
    </row>
    <row r="32" spans="1:6" x14ac:dyDescent="0.3">
      <c r="A32" s="5">
        <v>31</v>
      </c>
      <c r="B32" s="5" t="s">
        <v>76</v>
      </c>
      <c r="C32" s="5">
        <v>2</v>
      </c>
      <c r="D32" s="5">
        <v>-2</v>
      </c>
      <c r="E32" s="5" t="s">
        <v>44</v>
      </c>
      <c r="F32" s="5" t="s">
        <v>42</v>
      </c>
    </row>
    <row r="33" spans="1:6" x14ac:dyDescent="0.3">
      <c r="A33" s="7">
        <v>32</v>
      </c>
      <c r="B33" s="7" t="s">
        <v>77</v>
      </c>
      <c r="C33" s="7">
        <v>-2</v>
      </c>
      <c r="D33" s="7">
        <v>-4</v>
      </c>
      <c r="E33" s="7" t="s">
        <v>46</v>
      </c>
      <c r="F33" s="7" t="s">
        <v>42</v>
      </c>
    </row>
    <row r="34" spans="1:6" x14ac:dyDescent="0.3">
      <c r="A34" s="5">
        <v>33</v>
      </c>
      <c r="B34" s="5" t="s">
        <v>78</v>
      </c>
      <c r="C34" s="5">
        <v>-1</v>
      </c>
      <c r="D34" s="5">
        <v>-2</v>
      </c>
      <c r="E34" s="5" t="s">
        <v>44</v>
      </c>
      <c r="F34" s="5" t="s">
        <v>42</v>
      </c>
    </row>
    <row r="35" spans="1:6" x14ac:dyDescent="0.3">
      <c r="A35" s="7">
        <v>34</v>
      </c>
      <c r="B35" s="7" t="s">
        <v>79</v>
      </c>
      <c r="C35" s="7">
        <v>-1</v>
      </c>
      <c r="D35" s="7">
        <v>-2</v>
      </c>
      <c r="E35" s="7" t="s">
        <v>44</v>
      </c>
      <c r="F35" s="7" t="s">
        <v>42</v>
      </c>
    </row>
    <row r="36" spans="1:6" x14ac:dyDescent="0.3">
      <c r="A36" s="5">
        <v>35</v>
      </c>
      <c r="B36" s="5" t="s">
        <v>80</v>
      </c>
      <c r="C36" s="5">
        <v>2</v>
      </c>
      <c r="D36" s="5">
        <v>-2</v>
      </c>
      <c r="E36" s="5" t="s">
        <v>44</v>
      </c>
      <c r="F36" s="5" t="s">
        <v>42</v>
      </c>
    </row>
    <row r="37" spans="1:6" x14ac:dyDescent="0.3">
      <c r="A37" s="7">
        <v>36</v>
      </c>
      <c r="B37" s="7" t="s">
        <v>81</v>
      </c>
      <c r="C37" s="7">
        <v>-1</v>
      </c>
      <c r="D37" s="7">
        <v>-2</v>
      </c>
      <c r="E37" s="7" t="s">
        <v>44</v>
      </c>
      <c r="F37" s="7" t="s">
        <v>42</v>
      </c>
    </row>
    <row r="38" spans="1:6" x14ac:dyDescent="0.3">
      <c r="A38" s="5">
        <v>37</v>
      </c>
      <c r="B38" s="5" t="s">
        <v>82</v>
      </c>
      <c r="C38" s="5">
        <v>-1</v>
      </c>
      <c r="D38" s="5">
        <v>-2</v>
      </c>
      <c r="E38" s="5" t="s">
        <v>44</v>
      </c>
      <c r="F38" s="5" t="s">
        <v>42</v>
      </c>
    </row>
    <row r="39" spans="1:6" x14ac:dyDescent="0.3">
      <c r="A39" s="7">
        <v>38</v>
      </c>
      <c r="B39" s="7" t="s">
        <v>83</v>
      </c>
      <c r="C39" s="7">
        <v>1</v>
      </c>
      <c r="D39" s="7">
        <v>-1</v>
      </c>
      <c r="E39" s="7" t="s">
        <v>55</v>
      </c>
      <c r="F39" s="7" t="s">
        <v>42</v>
      </c>
    </row>
    <row r="40" spans="1:6" x14ac:dyDescent="0.3">
      <c r="A40" s="5">
        <v>39</v>
      </c>
      <c r="B40" s="5" t="s">
        <v>84</v>
      </c>
      <c r="C40" s="5">
        <v>1</v>
      </c>
      <c r="D40" s="5">
        <v>-2</v>
      </c>
      <c r="E40" s="5" t="s">
        <v>44</v>
      </c>
      <c r="F40" s="5" t="s">
        <v>42</v>
      </c>
    </row>
    <row r="41" spans="1:6" x14ac:dyDescent="0.3">
      <c r="A41" s="7">
        <v>40</v>
      </c>
      <c r="B41" s="7" t="s">
        <v>85</v>
      </c>
      <c r="C41" s="7">
        <v>-1</v>
      </c>
      <c r="D41" s="7">
        <v>-2</v>
      </c>
      <c r="E41" s="7" t="s">
        <v>44</v>
      </c>
      <c r="F41" s="7" t="s">
        <v>42</v>
      </c>
    </row>
    <row r="42" spans="1:6" x14ac:dyDescent="0.3">
      <c r="A42" s="5">
        <v>41</v>
      </c>
      <c r="B42" s="5" t="s">
        <v>86</v>
      </c>
      <c r="C42" s="5">
        <v>-1</v>
      </c>
      <c r="D42" s="5">
        <v>-1</v>
      </c>
      <c r="E42" s="5" t="s">
        <v>55</v>
      </c>
      <c r="F42" s="5" t="s">
        <v>42</v>
      </c>
    </row>
    <row r="43" spans="1:6" x14ac:dyDescent="0.3">
      <c r="A43" s="7">
        <v>42</v>
      </c>
      <c r="B43" s="7" t="s">
        <v>87</v>
      </c>
      <c r="C43" s="7">
        <v>-3</v>
      </c>
      <c r="D43" s="7">
        <v>-3</v>
      </c>
      <c r="E43" s="7" t="s">
        <v>41</v>
      </c>
      <c r="F43" s="7" t="s">
        <v>42</v>
      </c>
    </row>
    <row r="44" spans="1:6" x14ac:dyDescent="0.3">
      <c r="A44" s="5">
        <v>43</v>
      </c>
      <c r="B44" s="5" t="s">
        <v>88</v>
      </c>
      <c r="C44" s="5">
        <v>-1</v>
      </c>
      <c r="D44" s="5">
        <v>-3</v>
      </c>
      <c r="E44" s="5" t="s">
        <v>41</v>
      </c>
      <c r="F44" s="5" t="s">
        <v>42</v>
      </c>
    </row>
    <row r="45" spans="1:6" x14ac:dyDescent="0.3">
      <c r="A45" s="7">
        <v>44</v>
      </c>
      <c r="B45" s="7" t="s">
        <v>89</v>
      </c>
      <c r="C45" s="7">
        <v>3</v>
      </c>
      <c r="D45" s="7">
        <v>-2</v>
      </c>
      <c r="E45" s="7" t="s">
        <v>44</v>
      </c>
      <c r="F45" s="7" t="s">
        <v>42</v>
      </c>
    </row>
    <row r="46" spans="1:6" x14ac:dyDescent="0.3">
      <c r="A46" s="5">
        <v>45</v>
      </c>
      <c r="B46" s="5" t="s">
        <v>90</v>
      </c>
      <c r="C46" s="5">
        <v>1</v>
      </c>
      <c r="D46" s="5">
        <v>-3</v>
      </c>
      <c r="E46" s="5" t="s">
        <v>41</v>
      </c>
      <c r="F46" s="5" t="s">
        <v>42</v>
      </c>
    </row>
    <row r="47" spans="1:6" x14ac:dyDescent="0.3">
      <c r="A47" s="7">
        <v>46</v>
      </c>
      <c r="B47" s="7" t="s">
        <v>91</v>
      </c>
      <c r="C47" s="7">
        <v>-2</v>
      </c>
      <c r="D47" s="7">
        <v>-2</v>
      </c>
      <c r="E47" s="7" t="s">
        <v>44</v>
      </c>
      <c r="F47" s="7" t="s">
        <v>42</v>
      </c>
    </row>
    <row r="48" spans="1:6" x14ac:dyDescent="0.3">
      <c r="A48" s="5">
        <v>47</v>
      </c>
      <c r="B48" s="5" t="s">
        <v>92</v>
      </c>
      <c r="C48" s="5">
        <v>-1</v>
      </c>
      <c r="D48" s="5">
        <v>-2</v>
      </c>
      <c r="E48" s="5" t="s">
        <v>44</v>
      </c>
      <c r="F48" s="5" t="s">
        <v>42</v>
      </c>
    </row>
    <row r="49" spans="1:6" x14ac:dyDescent="0.3">
      <c r="A49" s="7">
        <v>48</v>
      </c>
      <c r="B49" s="7" t="s">
        <v>93</v>
      </c>
      <c r="C49" s="7">
        <v>1</v>
      </c>
      <c r="D49" s="7">
        <v>-2</v>
      </c>
      <c r="E49" s="7" t="s">
        <v>44</v>
      </c>
      <c r="F49" s="7" t="s">
        <v>42</v>
      </c>
    </row>
    <row r="50" spans="1:6" x14ac:dyDescent="0.3">
      <c r="A50" s="5">
        <v>49</v>
      </c>
      <c r="B50" s="5" t="s">
        <v>94</v>
      </c>
      <c r="C50" s="5">
        <v>-1</v>
      </c>
      <c r="D50" s="5">
        <v>-3</v>
      </c>
      <c r="E50" s="5" t="s">
        <v>41</v>
      </c>
      <c r="F50" s="5" t="s">
        <v>42</v>
      </c>
    </row>
    <row r="51" spans="1:6" x14ac:dyDescent="0.3">
      <c r="A51" s="7">
        <v>50</v>
      </c>
      <c r="B51" s="7" t="s">
        <v>95</v>
      </c>
      <c r="C51" s="7">
        <v>-2</v>
      </c>
      <c r="D51" s="7">
        <v>-2</v>
      </c>
      <c r="E51" s="7" t="s">
        <v>44</v>
      </c>
      <c r="F51" s="7" t="s">
        <v>42</v>
      </c>
    </row>
    <row r="52" spans="1:6" x14ac:dyDescent="0.3">
      <c r="A52" s="5">
        <v>51</v>
      </c>
      <c r="B52" s="5" t="s">
        <v>96</v>
      </c>
      <c r="C52" s="5">
        <v>-1</v>
      </c>
      <c r="D52" s="5">
        <v>-2</v>
      </c>
      <c r="E52" s="5" t="s">
        <v>44</v>
      </c>
      <c r="F52" s="5" t="s">
        <v>42</v>
      </c>
    </row>
    <row r="53" spans="1:6" x14ac:dyDescent="0.3">
      <c r="A53" s="7">
        <v>52</v>
      </c>
      <c r="B53" s="7" t="s">
        <v>97</v>
      </c>
      <c r="C53" s="7">
        <v>-4</v>
      </c>
      <c r="D53" s="7">
        <v>-3</v>
      </c>
      <c r="E53" s="7" t="s">
        <v>41</v>
      </c>
      <c r="F53" s="7" t="s">
        <v>42</v>
      </c>
    </row>
    <row r="54" spans="1:6" x14ac:dyDescent="0.3">
      <c r="A54" s="5">
        <v>53</v>
      </c>
      <c r="B54" s="5" t="s">
        <v>98</v>
      </c>
      <c r="C54" s="5">
        <v>-1</v>
      </c>
      <c r="D54" s="5">
        <v>-2</v>
      </c>
      <c r="E54" s="5" t="s">
        <v>44</v>
      </c>
      <c r="F54" s="5" t="s">
        <v>42</v>
      </c>
    </row>
    <row r="55" spans="1:6" x14ac:dyDescent="0.3">
      <c r="A55" s="7">
        <v>54</v>
      </c>
      <c r="B55" s="7" t="s">
        <v>99</v>
      </c>
      <c r="C55" s="7">
        <v>2</v>
      </c>
      <c r="D55" s="7">
        <v>-3</v>
      </c>
      <c r="E55" s="7" t="s">
        <v>41</v>
      </c>
      <c r="F55" s="7" t="s">
        <v>42</v>
      </c>
    </row>
    <row r="56" spans="1:6" x14ac:dyDescent="0.3">
      <c r="A56" s="5">
        <v>55</v>
      </c>
      <c r="B56" s="5" t="s">
        <v>100</v>
      </c>
      <c r="C56" s="5">
        <v>-2</v>
      </c>
      <c r="D56" s="5">
        <v>-2</v>
      </c>
      <c r="E56" s="5" t="s">
        <v>44</v>
      </c>
      <c r="F56" s="5" t="s">
        <v>42</v>
      </c>
    </row>
    <row r="57" spans="1:6" x14ac:dyDescent="0.3">
      <c r="A57" s="7">
        <v>56</v>
      </c>
      <c r="B57" s="7" t="s">
        <v>101</v>
      </c>
      <c r="C57" s="7">
        <v>-2</v>
      </c>
      <c r="D57" s="7">
        <v>-3</v>
      </c>
      <c r="E57" s="7" t="s">
        <v>41</v>
      </c>
      <c r="F57" s="7" t="s">
        <v>42</v>
      </c>
    </row>
    <row r="58" spans="1:6" x14ac:dyDescent="0.3">
      <c r="A58" s="5">
        <v>57</v>
      </c>
      <c r="B58" s="5" t="s">
        <v>102</v>
      </c>
      <c r="C58" s="5">
        <v>-4</v>
      </c>
      <c r="D58" s="5">
        <v>-3</v>
      </c>
      <c r="E58" s="5" t="s">
        <v>41</v>
      </c>
      <c r="F58" s="5" t="s">
        <v>42</v>
      </c>
    </row>
    <row r="59" spans="1:6" x14ac:dyDescent="0.3">
      <c r="A59" s="7">
        <v>58</v>
      </c>
      <c r="B59" s="7" t="s">
        <v>103</v>
      </c>
      <c r="C59" s="7">
        <v>3</v>
      </c>
      <c r="D59" s="7">
        <v>-2</v>
      </c>
      <c r="E59" s="7" t="s">
        <v>44</v>
      </c>
      <c r="F59" s="7" t="s">
        <v>42</v>
      </c>
    </row>
    <row r="60" spans="1:6" x14ac:dyDescent="0.3">
      <c r="A60" s="5">
        <v>59</v>
      </c>
      <c r="B60" s="5" t="s">
        <v>104</v>
      </c>
      <c r="C60" s="5">
        <v>-1</v>
      </c>
      <c r="D60" s="5">
        <v>-2</v>
      </c>
      <c r="E60" s="5" t="s">
        <v>44</v>
      </c>
      <c r="F60" s="5" t="s">
        <v>42</v>
      </c>
    </row>
    <row r="61" spans="1:6" x14ac:dyDescent="0.3">
      <c r="A61" s="7">
        <v>60</v>
      </c>
      <c r="B61" s="7" t="s">
        <v>105</v>
      </c>
      <c r="C61" s="7">
        <v>-1</v>
      </c>
      <c r="D61" s="7">
        <v>-2</v>
      </c>
      <c r="E61" s="7" t="s">
        <v>44</v>
      </c>
      <c r="F61" s="7" t="s">
        <v>42</v>
      </c>
    </row>
    <row r="62" spans="1:6" x14ac:dyDescent="0.3">
      <c r="A62" s="5">
        <v>61</v>
      </c>
      <c r="B62" s="5" t="s">
        <v>106</v>
      </c>
      <c r="C62" s="5">
        <v>-4</v>
      </c>
      <c r="D62" s="5">
        <v>-2</v>
      </c>
      <c r="E62" s="5" t="s">
        <v>44</v>
      </c>
      <c r="F62" s="5" t="s">
        <v>42</v>
      </c>
    </row>
    <row r="63" spans="1:6" x14ac:dyDescent="0.3">
      <c r="A63" s="7">
        <v>62</v>
      </c>
      <c r="B63" s="7" t="s">
        <v>107</v>
      </c>
      <c r="C63" s="7">
        <v>-3</v>
      </c>
      <c r="D63" s="7">
        <v>-3</v>
      </c>
      <c r="E63" s="7" t="s">
        <v>41</v>
      </c>
      <c r="F63" s="7" t="s">
        <v>42</v>
      </c>
    </row>
    <row r="64" spans="1:6" x14ac:dyDescent="0.3">
      <c r="A64" s="5">
        <v>63</v>
      </c>
      <c r="B64" s="5" t="s">
        <v>108</v>
      </c>
      <c r="C64" s="5">
        <v>2</v>
      </c>
      <c r="D64" s="5">
        <v>-3</v>
      </c>
      <c r="E64" s="5" t="s">
        <v>41</v>
      </c>
      <c r="F64" s="5" t="s">
        <v>42</v>
      </c>
    </row>
    <row r="65" spans="1:6" x14ac:dyDescent="0.3">
      <c r="A65" s="7">
        <v>64</v>
      </c>
      <c r="B65" s="7" t="s">
        <v>109</v>
      </c>
      <c r="C65" s="7">
        <v>-1</v>
      </c>
      <c r="D65" s="7">
        <v>-2</v>
      </c>
      <c r="E65" s="7" t="s">
        <v>44</v>
      </c>
      <c r="F65" s="7" t="s">
        <v>42</v>
      </c>
    </row>
    <row r="66" spans="1:6" x14ac:dyDescent="0.3">
      <c r="A66" s="5">
        <v>65</v>
      </c>
      <c r="B66" s="5" t="s">
        <v>110</v>
      </c>
      <c r="C66" s="5">
        <v>1</v>
      </c>
      <c r="D66" s="5">
        <v>-4</v>
      </c>
      <c r="E66" s="5" t="s">
        <v>46</v>
      </c>
      <c r="F66" s="5" t="s">
        <v>42</v>
      </c>
    </row>
    <row r="67" spans="1:6" x14ac:dyDescent="0.3">
      <c r="A67" s="7">
        <v>66</v>
      </c>
      <c r="B67" s="7" t="s">
        <v>111</v>
      </c>
      <c r="C67" s="7">
        <v>-2</v>
      </c>
      <c r="D67" s="7">
        <v>-2</v>
      </c>
      <c r="E67" s="7" t="s">
        <v>44</v>
      </c>
      <c r="F67" s="7" t="s">
        <v>42</v>
      </c>
    </row>
    <row r="68" spans="1:6" x14ac:dyDescent="0.3">
      <c r="A68" s="5">
        <v>67</v>
      </c>
      <c r="B68" s="5" t="s">
        <v>112</v>
      </c>
      <c r="C68" s="5">
        <v>1</v>
      </c>
      <c r="D68" s="5">
        <v>-2</v>
      </c>
      <c r="E68" s="5" t="s">
        <v>44</v>
      </c>
      <c r="F68" s="5" t="s">
        <v>42</v>
      </c>
    </row>
    <row r="69" spans="1:6" x14ac:dyDescent="0.3">
      <c r="A69" s="7">
        <v>68</v>
      </c>
      <c r="B69" s="7" t="s">
        <v>113</v>
      </c>
      <c r="C69" s="7">
        <v>-2</v>
      </c>
      <c r="D69" s="7">
        <v>-3</v>
      </c>
      <c r="E69" s="7" t="s">
        <v>41</v>
      </c>
      <c r="F69" s="7" t="s">
        <v>42</v>
      </c>
    </row>
    <row r="70" spans="1:6" x14ac:dyDescent="0.3">
      <c r="A70" s="5">
        <v>69</v>
      </c>
      <c r="B70" s="5" t="s">
        <v>114</v>
      </c>
      <c r="C70" s="5">
        <v>-4</v>
      </c>
      <c r="D70" s="5">
        <v>-3</v>
      </c>
      <c r="E70" s="5" t="s">
        <v>41</v>
      </c>
      <c r="F70" s="5" t="s">
        <v>42</v>
      </c>
    </row>
    <row r="71" spans="1:6" x14ac:dyDescent="0.3">
      <c r="A71" s="7">
        <v>70</v>
      </c>
      <c r="B71" s="7" t="s">
        <v>115</v>
      </c>
      <c r="C71" s="7">
        <v>-3</v>
      </c>
      <c r="D71" s="7">
        <v>-3</v>
      </c>
      <c r="E71" s="7" t="s">
        <v>41</v>
      </c>
      <c r="F71" s="7" t="s">
        <v>42</v>
      </c>
    </row>
    <row r="72" spans="1:6" x14ac:dyDescent="0.3">
      <c r="A72" s="5">
        <v>71</v>
      </c>
      <c r="B72" s="5" t="s">
        <v>116</v>
      </c>
      <c r="C72" s="5">
        <v>2</v>
      </c>
      <c r="D72" s="5">
        <v>-2</v>
      </c>
      <c r="E72" s="5" t="s">
        <v>44</v>
      </c>
      <c r="F72" s="5" t="s">
        <v>42</v>
      </c>
    </row>
    <row r="73" spans="1:6" x14ac:dyDescent="0.3">
      <c r="A73" s="7">
        <v>72</v>
      </c>
      <c r="B73" s="7" t="s">
        <v>117</v>
      </c>
      <c r="C73" s="7">
        <v>1</v>
      </c>
      <c r="D73" s="7">
        <v>-2</v>
      </c>
      <c r="E73" s="7" t="s">
        <v>44</v>
      </c>
      <c r="F73" s="7" t="s">
        <v>42</v>
      </c>
    </row>
    <row r="74" spans="1:6" x14ac:dyDescent="0.3">
      <c r="A74" s="5">
        <v>73</v>
      </c>
      <c r="B74" s="5" t="s">
        <v>118</v>
      </c>
      <c r="C74" s="5" t="s">
        <v>119</v>
      </c>
      <c r="D74" s="5" t="s">
        <v>120</v>
      </c>
      <c r="E74" s="5" t="s">
        <v>120</v>
      </c>
      <c r="F74" s="5" t="s">
        <v>121</v>
      </c>
    </row>
    <row r="75" spans="1:6" x14ac:dyDescent="0.3">
      <c r="A75" s="7">
        <v>74</v>
      </c>
      <c r="B75" s="7" t="s">
        <v>122</v>
      </c>
      <c r="C75" s="7">
        <v>3</v>
      </c>
      <c r="D75" s="7">
        <v>1</v>
      </c>
      <c r="E75" s="7" t="s">
        <v>52</v>
      </c>
      <c r="F75" s="7" t="s">
        <v>42</v>
      </c>
    </row>
    <row r="76" spans="1:6" x14ac:dyDescent="0.3">
      <c r="A76" s="5">
        <v>75</v>
      </c>
      <c r="B76" s="5" t="s">
        <v>123</v>
      </c>
      <c r="C76" s="5">
        <v>1</v>
      </c>
      <c r="D76" s="5">
        <v>-2</v>
      </c>
      <c r="E76" s="5" t="s">
        <v>44</v>
      </c>
      <c r="F76" s="5" t="s">
        <v>42</v>
      </c>
    </row>
    <row r="77" spans="1:6" x14ac:dyDescent="0.3">
      <c r="A77" s="7">
        <v>76</v>
      </c>
      <c r="B77" s="7" t="s">
        <v>124</v>
      </c>
      <c r="C77" s="7">
        <v>-3</v>
      </c>
      <c r="D77" s="7">
        <v>-2</v>
      </c>
      <c r="E77" s="7" t="s">
        <v>44</v>
      </c>
      <c r="F77" s="7" t="s">
        <v>42</v>
      </c>
    </row>
    <row r="78" spans="1:6" x14ac:dyDescent="0.3">
      <c r="A78" s="5">
        <v>77</v>
      </c>
      <c r="B78" s="5" t="s">
        <v>125</v>
      </c>
      <c r="C78" s="5">
        <v>-3</v>
      </c>
      <c r="D78" s="5">
        <v>-4</v>
      </c>
      <c r="E78" s="5" t="s">
        <v>46</v>
      </c>
      <c r="F78" s="5" t="s">
        <v>42</v>
      </c>
    </row>
    <row r="79" spans="1:6" x14ac:dyDescent="0.3">
      <c r="A79" s="7">
        <v>78</v>
      </c>
      <c r="B79" s="7" t="s">
        <v>126</v>
      </c>
      <c r="C79" s="7">
        <v>-3</v>
      </c>
      <c r="D79" s="7">
        <v>-2</v>
      </c>
      <c r="E79" s="7" t="s">
        <v>44</v>
      </c>
      <c r="F79" s="7" t="s">
        <v>42</v>
      </c>
    </row>
    <row r="80" spans="1:6" x14ac:dyDescent="0.3">
      <c r="A80" s="5">
        <v>79</v>
      </c>
      <c r="B80" s="5" t="s">
        <v>127</v>
      </c>
      <c r="C80" s="5">
        <v>-1</v>
      </c>
      <c r="D80" s="5">
        <v>-2</v>
      </c>
      <c r="E80" s="5" t="s">
        <v>44</v>
      </c>
      <c r="F80" s="5" t="s">
        <v>42</v>
      </c>
    </row>
    <row r="81" spans="1:6" x14ac:dyDescent="0.3">
      <c r="A81" s="7">
        <v>80</v>
      </c>
      <c r="B81" s="7" t="s">
        <v>128</v>
      </c>
      <c r="C81" s="7">
        <v>-2</v>
      </c>
      <c r="D81" s="7">
        <v>-3</v>
      </c>
      <c r="E81" s="7" t="s">
        <v>41</v>
      </c>
      <c r="F81" s="7" t="s">
        <v>42</v>
      </c>
    </row>
    <row r="82" spans="1:6" x14ac:dyDescent="0.3">
      <c r="A82" s="5">
        <v>81</v>
      </c>
      <c r="B82" s="5" t="s">
        <v>129</v>
      </c>
      <c r="C82" s="5">
        <v>-1</v>
      </c>
      <c r="D82" s="5">
        <v>-1</v>
      </c>
      <c r="E82" s="5" t="s">
        <v>55</v>
      </c>
      <c r="F82" s="5" t="s">
        <v>42</v>
      </c>
    </row>
    <row r="83" spans="1:6" x14ac:dyDescent="0.3">
      <c r="A83" s="7">
        <v>82</v>
      </c>
      <c r="B83" s="7" t="s">
        <v>130</v>
      </c>
      <c r="C83" s="7">
        <v>2</v>
      </c>
      <c r="D83" s="7">
        <v>-2</v>
      </c>
      <c r="E83" s="7" t="s">
        <v>44</v>
      </c>
      <c r="F83" s="7" t="s">
        <v>42</v>
      </c>
    </row>
    <row r="84" spans="1:6" x14ac:dyDescent="0.3">
      <c r="A84" s="5">
        <v>83</v>
      </c>
      <c r="B84" s="5" t="s">
        <v>131</v>
      </c>
      <c r="C84" s="5">
        <v>-4</v>
      </c>
      <c r="D84" s="5">
        <v>-3</v>
      </c>
      <c r="E84" s="5" t="s">
        <v>41</v>
      </c>
      <c r="F84" s="5" t="s">
        <v>42</v>
      </c>
    </row>
    <row r="85" spans="1:6" x14ac:dyDescent="0.3">
      <c r="A85" s="7">
        <v>84</v>
      </c>
      <c r="B85" s="7" t="s">
        <v>132</v>
      </c>
      <c r="C85" s="7">
        <v>1</v>
      </c>
      <c r="D85" s="7">
        <v>-2</v>
      </c>
      <c r="E85" s="7" t="s">
        <v>44</v>
      </c>
      <c r="F85" s="7" t="s">
        <v>42</v>
      </c>
    </row>
    <row r="86" spans="1:6" x14ac:dyDescent="0.3">
      <c r="A86" s="5">
        <v>85</v>
      </c>
      <c r="B86" s="5" t="s">
        <v>133</v>
      </c>
      <c r="C86" s="5">
        <v>-2</v>
      </c>
      <c r="D86" s="5">
        <v>-1</v>
      </c>
      <c r="E86" s="5" t="s">
        <v>55</v>
      </c>
      <c r="F86" s="5" t="s">
        <v>42</v>
      </c>
    </row>
    <row r="87" spans="1:6" x14ac:dyDescent="0.3">
      <c r="A87" s="7">
        <v>86</v>
      </c>
      <c r="B87" s="7" t="s">
        <v>134</v>
      </c>
      <c r="C87" s="7">
        <v>-1</v>
      </c>
      <c r="D87" s="7">
        <v>-3</v>
      </c>
      <c r="E87" s="7" t="s">
        <v>41</v>
      </c>
      <c r="F87" s="7" t="s">
        <v>42</v>
      </c>
    </row>
    <row r="88" spans="1:6" x14ac:dyDescent="0.3">
      <c r="A88" s="5">
        <v>87</v>
      </c>
      <c r="B88" s="5" t="s">
        <v>135</v>
      </c>
      <c r="C88" s="5">
        <v>-2</v>
      </c>
      <c r="D88" s="5">
        <v>-2</v>
      </c>
      <c r="E88" s="5" t="s">
        <v>44</v>
      </c>
      <c r="F88" s="5" t="s">
        <v>42</v>
      </c>
    </row>
    <row r="89" spans="1:6" x14ac:dyDescent="0.3">
      <c r="A89" s="7">
        <v>88</v>
      </c>
      <c r="B89" s="7" t="s">
        <v>136</v>
      </c>
      <c r="C89" s="7">
        <v>-1</v>
      </c>
      <c r="D89" s="7">
        <v>-2</v>
      </c>
      <c r="E89" s="7" t="s">
        <v>44</v>
      </c>
      <c r="F89" s="7" t="s">
        <v>42</v>
      </c>
    </row>
    <row r="90" spans="1:6" x14ac:dyDescent="0.3">
      <c r="A90" s="5">
        <v>89</v>
      </c>
      <c r="B90" s="5" t="s">
        <v>137</v>
      </c>
      <c r="C90" s="5">
        <v>-2</v>
      </c>
      <c r="D90" s="5">
        <v>-3</v>
      </c>
      <c r="E90" s="5" t="s">
        <v>41</v>
      </c>
      <c r="F90" s="5" t="s">
        <v>42</v>
      </c>
    </row>
    <row r="91" spans="1:6" x14ac:dyDescent="0.3">
      <c r="A91" s="7">
        <v>90</v>
      </c>
      <c r="B91" s="7" t="s">
        <v>138</v>
      </c>
      <c r="C91" s="7">
        <v>-3</v>
      </c>
      <c r="D91" s="7">
        <v>-3</v>
      </c>
      <c r="E91" s="7" t="s">
        <v>41</v>
      </c>
      <c r="F91" s="7" t="s">
        <v>42</v>
      </c>
    </row>
    <row r="92" spans="1:6" x14ac:dyDescent="0.3">
      <c r="A92" s="5">
        <v>91</v>
      </c>
      <c r="B92" s="5" t="s">
        <v>139</v>
      </c>
      <c r="C92" s="5">
        <v>1</v>
      </c>
      <c r="D92" s="5">
        <v>-1</v>
      </c>
      <c r="E92" s="5" t="s">
        <v>55</v>
      </c>
      <c r="F92" s="5" t="s">
        <v>42</v>
      </c>
    </row>
    <row r="93" spans="1:6" x14ac:dyDescent="0.3">
      <c r="A93" s="7">
        <v>92</v>
      </c>
      <c r="B93" s="7" t="s">
        <v>140</v>
      </c>
      <c r="C93" s="7">
        <v>2</v>
      </c>
      <c r="D93" s="7">
        <v>-2</v>
      </c>
      <c r="E93" s="7" t="s">
        <v>44</v>
      </c>
      <c r="F93" s="7" t="s">
        <v>42</v>
      </c>
    </row>
    <row r="94" spans="1:6" x14ac:dyDescent="0.3">
      <c r="A94" s="5">
        <v>93</v>
      </c>
      <c r="B94" s="5" t="s">
        <v>141</v>
      </c>
      <c r="C94" s="5">
        <v>3</v>
      </c>
      <c r="D94" s="5">
        <v>-1</v>
      </c>
      <c r="E94" s="5" t="s">
        <v>55</v>
      </c>
      <c r="F94" s="5" t="s">
        <v>42</v>
      </c>
    </row>
    <row r="95" spans="1:6" x14ac:dyDescent="0.3">
      <c r="A95" s="7">
        <v>94</v>
      </c>
      <c r="B95" s="7" t="s">
        <v>142</v>
      </c>
      <c r="C95" s="7">
        <v>-2</v>
      </c>
      <c r="D95" s="7">
        <v>-2</v>
      </c>
      <c r="E95" s="7" t="s">
        <v>44</v>
      </c>
      <c r="F95" s="7" t="s">
        <v>42</v>
      </c>
    </row>
    <row r="96" spans="1:6" x14ac:dyDescent="0.3">
      <c r="A96" s="5">
        <v>95</v>
      </c>
      <c r="B96" s="5" t="s">
        <v>143</v>
      </c>
      <c r="C96" s="5">
        <v>1</v>
      </c>
      <c r="D96" s="5">
        <v>-3</v>
      </c>
      <c r="E96" s="5" t="s">
        <v>41</v>
      </c>
      <c r="F96" s="5" t="s">
        <v>42</v>
      </c>
    </row>
    <row r="97" spans="1:6" x14ac:dyDescent="0.3">
      <c r="A97" s="7">
        <v>96</v>
      </c>
      <c r="B97" s="7" t="s">
        <v>144</v>
      </c>
      <c r="C97" s="7">
        <v>1</v>
      </c>
      <c r="D97" s="7">
        <v>-2</v>
      </c>
      <c r="E97" s="7" t="s">
        <v>44</v>
      </c>
      <c r="F97" s="7" t="s">
        <v>42</v>
      </c>
    </row>
    <row r="98" spans="1:6" x14ac:dyDescent="0.3">
      <c r="A98" s="5">
        <v>97</v>
      </c>
      <c r="B98" s="5" t="s">
        <v>145</v>
      </c>
      <c r="C98" s="5">
        <v>-4</v>
      </c>
      <c r="D98" s="5">
        <v>-3</v>
      </c>
      <c r="E98" s="5" t="s">
        <v>41</v>
      </c>
      <c r="F98" s="5" t="s">
        <v>42</v>
      </c>
    </row>
    <row r="99" spans="1:6" x14ac:dyDescent="0.3">
      <c r="A99" s="7">
        <v>98</v>
      </c>
      <c r="B99" s="7" t="s">
        <v>146</v>
      </c>
      <c r="C99" s="7">
        <v>-2</v>
      </c>
      <c r="D99" s="7">
        <v>-3</v>
      </c>
      <c r="E99" s="7" t="s">
        <v>41</v>
      </c>
      <c r="F99" s="7" t="s">
        <v>42</v>
      </c>
    </row>
    <row r="100" spans="1:6" x14ac:dyDescent="0.3">
      <c r="A100" s="5">
        <v>99</v>
      </c>
      <c r="B100" s="5" t="s">
        <v>147</v>
      </c>
      <c r="C100" s="5">
        <v>2</v>
      </c>
      <c r="D100" s="5">
        <v>-3</v>
      </c>
      <c r="E100" s="5" t="s">
        <v>41</v>
      </c>
      <c r="F100" s="5" t="s">
        <v>42</v>
      </c>
    </row>
    <row r="101" spans="1:6" x14ac:dyDescent="0.3">
      <c r="A101" s="7">
        <v>100</v>
      </c>
      <c r="B101" s="7" t="s">
        <v>148</v>
      </c>
      <c r="C101" s="7">
        <v>-1</v>
      </c>
      <c r="D101" s="7">
        <v>-2</v>
      </c>
      <c r="E101" s="7" t="s">
        <v>44</v>
      </c>
      <c r="F101" s="7" t="s">
        <v>42</v>
      </c>
    </row>
    <row r="102" spans="1:6" x14ac:dyDescent="0.3">
      <c r="A102" s="5">
        <v>101</v>
      </c>
      <c r="B102" s="5" t="s">
        <v>149</v>
      </c>
      <c r="C102" s="5">
        <v>-1</v>
      </c>
      <c r="D102" s="5">
        <v>-3</v>
      </c>
      <c r="E102" s="5" t="s">
        <v>41</v>
      </c>
      <c r="F102" s="5" t="s">
        <v>42</v>
      </c>
    </row>
    <row r="103" spans="1:6" x14ac:dyDescent="0.3">
      <c r="A103" s="7">
        <v>102</v>
      </c>
      <c r="B103" s="7" t="s">
        <v>150</v>
      </c>
      <c r="C103" s="7">
        <v>-1</v>
      </c>
      <c r="D103" s="7">
        <v>-2</v>
      </c>
      <c r="E103" s="7" t="s">
        <v>44</v>
      </c>
      <c r="F103" s="7" t="s">
        <v>42</v>
      </c>
    </row>
    <row r="104" spans="1:6" x14ac:dyDescent="0.3">
      <c r="A104" s="5">
        <v>103</v>
      </c>
      <c r="B104" s="5" t="s">
        <v>151</v>
      </c>
      <c r="C104" s="5">
        <v>-2</v>
      </c>
      <c r="D104" s="5">
        <v>-3</v>
      </c>
      <c r="E104" s="5" t="s">
        <v>41</v>
      </c>
      <c r="F104" s="5" t="s">
        <v>42</v>
      </c>
    </row>
    <row r="105" spans="1:6" x14ac:dyDescent="0.3">
      <c r="A105" s="7">
        <v>104</v>
      </c>
      <c r="B105" s="7" t="s">
        <v>152</v>
      </c>
      <c r="C105" s="7">
        <v>-1</v>
      </c>
      <c r="D105" s="7">
        <v>-3</v>
      </c>
      <c r="E105" s="7" t="s">
        <v>41</v>
      </c>
      <c r="F105" s="7" t="s">
        <v>42</v>
      </c>
    </row>
    <row r="106" spans="1:6" x14ac:dyDescent="0.3">
      <c r="A106" s="5">
        <v>105</v>
      </c>
      <c r="B106" s="5" t="s">
        <v>153</v>
      </c>
      <c r="C106" s="5">
        <v>1</v>
      </c>
      <c r="D106" s="5">
        <v>-3</v>
      </c>
      <c r="E106" s="5" t="s">
        <v>41</v>
      </c>
      <c r="F106" s="5" t="s">
        <v>42</v>
      </c>
    </row>
    <row r="107" spans="1:6" x14ac:dyDescent="0.3">
      <c r="A107" s="7">
        <v>106</v>
      </c>
      <c r="B107" s="7" t="s">
        <v>154</v>
      </c>
      <c r="C107" s="7">
        <v>1</v>
      </c>
      <c r="D107" s="7">
        <v>-2</v>
      </c>
      <c r="E107" s="7" t="s">
        <v>44</v>
      </c>
      <c r="F107" s="7" t="s">
        <v>42</v>
      </c>
    </row>
    <row r="108" spans="1:6" x14ac:dyDescent="0.3">
      <c r="A108" s="5">
        <v>107</v>
      </c>
      <c r="B108" s="5" t="s">
        <v>155</v>
      </c>
      <c r="C108" s="5">
        <v>3</v>
      </c>
      <c r="D108" s="5">
        <v>-2</v>
      </c>
      <c r="E108" s="5" t="s">
        <v>44</v>
      </c>
      <c r="F108" s="5" t="s">
        <v>42</v>
      </c>
    </row>
    <row r="109" spans="1:6" x14ac:dyDescent="0.3">
      <c r="A109" s="7">
        <v>108</v>
      </c>
      <c r="B109" s="7" t="s">
        <v>156</v>
      </c>
      <c r="C109" s="7">
        <v>-1</v>
      </c>
      <c r="D109" s="7">
        <v>-2</v>
      </c>
      <c r="E109" s="7" t="s">
        <v>44</v>
      </c>
      <c r="F109" s="7" t="s">
        <v>42</v>
      </c>
    </row>
    <row r="110" spans="1:6" x14ac:dyDescent="0.3">
      <c r="A110" s="5">
        <v>109</v>
      </c>
      <c r="B110" s="5" t="s">
        <v>157</v>
      </c>
      <c r="C110" s="5">
        <v>-1</v>
      </c>
      <c r="D110" s="5">
        <v>-3</v>
      </c>
      <c r="E110" s="5" t="s">
        <v>41</v>
      </c>
      <c r="F110" s="5" t="s">
        <v>42</v>
      </c>
    </row>
    <row r="111" spans="1:6" x14ac:dyDescent="0.3">
      <c r="A111" s="7">
        <v>110</v>
      </c>
      <c r="B111" s="7" t="s">
        <v>158</v>
      </c>
      <c r="C111" s="7">
        <v>3</v>
      </c>
      <c r="D111" s="7">
        <v>-3</v>
      </c>
      <c r="E111" s="7" t="s">
        <v>41</v>
      </c>
      <c r="F111" s="7" t="s">
        <v>42</v>
      </c>
    </row>
    <row r="112" spans="1:6" x14ac:dyDescent="0.3">
      <c r="A112" s="5">
        <v>111</v>
      </c>
      <c r="B112" s="5" t="s">
        <v>159</v>
      </c>
      <c r="C112" s="5">
        <v>-2</v>
      </c>
      <c r="D112" s="5">
        <v>-2</v>
      </c>
      <c r="E112" s="5" t="s">
        <v>44</v>
      </c>
      <c r="F112" s="5" t="s">
        <v>42</v>
      </c>
    </row>
    <row r="113" spans="1:6" x14ac:dyDescent="0.3">
      <c r="A113" s="7">
        <v>112</v>
      </c>
      <c r="B113" s="7" t="s">
        <v>160</v>
      </c>
      <c r="C113" s="7">
        <v>2</v>
      </c>
      <c r="D113" s="7">
        <v>-2</v>
      </c>
      <c r="E113" s="7" t="s">
        <v>44</v>
      </c>
      <c r="F113" s="7" t="s">
        <v>42</v>
      </c>
    </row>
    <row r="114" spans="1:6" x14ac:dyDescent="0.3">
      <c r="A114" s="5">
        <v>113</v>
      </c>
      <c r="B114" s="5" t="s">
        <v>161</v>
      </c>
      <c r="C114" s="5">
        <v>-4</v>
      </c>
      <c r="D114" s="5">
        <v>-4</v>
      </c>
      <c r="E114" s="5" t="s">
        <v>46</v>
      </c>
      <c r="F114" s="5" t="s">
        <v>42</v>
      </c>
    </row>
    <row r="115" spans="1:6" x14ac:dyDescent="0.3">
      <c r="A115" s="7">
        <v>114</v>
      </c>
      <c r="B115" s="7" t="s">
        <v>162</v>
      </c>
      <c r="C115" s="7">
        <v>-1</v>
      </c>
      <c r="D115" s="7">
        <v>-2</v>
      </c>
      <c r="E115" s="7" t="s">
        <v>44</v>
      </c>
      <c r="F115" s="7" t="s">
        <v>42</v>
      </c>
    </row>
    <row r="116" spans="1:6" x14ac:dyDescent="0.3">
      <c r="A116" s="5">
        <v>115</v>
      </c>
      <c r="B116" s="5" t="s">
        <v>163</v>
      </c>
      <c r="C116" s="5">
        <v>2</v>
      </c>
      <c r="D116" s="5">
        <v>-1</v>
      </c>
      <c r="E116" s="5" t="s">
        <v>55</v>
      </c>
      <c r="F116" s="5" t="s">
        <v>42</v>
      </c>
    </row>
    <row r="117" spans="1:6" x14ac:dyDescent="0.3">
      <c r="A117" s="7">
        <v>116</v>
      </c>
      <c r="B117" s="7" t="s">
        <v>164</v>
      </c>
      <c r="C117" s="7">
        <v>-4</v>
      </c>
      <c r="D117" s="7">
        <v>-3</v>
      </c>
      <c r="E117" s="7" t="s">
        <v>41</v>
      </c>
      <c r="F117" s="7" t="s">
        <v>42</v>
      </c>
    </row>
    <row r="118" spans="1:6" x14ac:dyDescent="0.3">
      <c r="A118" s="5">
        <v>117</v>
      </c>
      <c r="B118" s="5" t="s">
        <v>165</v>
      </c>
      <c r="C118" s="5">
        <v>-1</v>
      </c>
      <c r="D118" s="5">
        <v>-1</v>
      </c>
      <c r="E118" s="5" t="s">
        <v>55</v>
      </c>
      <c r="F118" s="5" t="s">
        <v>42</v>
      </c>
    </row>
    <row r="119" spans="1:6" x14ac:dyDescent="0.3">
      <c r="A119" s="7">
        <v>118</v>
      </c>
      <c r="B119" s="7" t="s">
        <v>166</v>
      </c>
      <c r="C119" s="7">
        <v>-3</v>
      </c>
      <c r="D119" s="7">
        <v>-3</v>
      </c>
      <c r="E119" s="7" t="s">
        <v>41</v>
      </c>
      <c r="F119" s="7" t="s">
        <v>42</v>
      </c>
    </row>
    <row r="120" spans="1:6" x14ac:dyDescent="0.3">
      <c r="A120" s="5">
        <v>119</v>
      </c>
      <c r="B120" s="5" t="s">
        <v>167</v>
      </c>
      <c r="C120" s="5">
        <v>-1</v>
      </c>
      <c r="D120" s="5">
        <v>-3</v>
      </c>
      <c r="E120" s="5" t="s">
        <v>41</v>
      </c>
      <c r="F120" s="5" t="s">
        <v>42</v>
      </c>
    </row>
    <row r="121" spans="1:6" x14ac:dyDescent="0.3">
      <c r="A121" s="7">
        <v>120</v>
      </c>
      <c r="B121" s="7" t="s">
        <v>168</v>
      </c>
      <c r="C121" s="7">
        <v>2</v>
      </c>
      <c r="D121" s="7">
        <v>-1</v>
      </c>
      <c r="E121" s="7" t="s">
        <v>55</v>
      </c>
      <c r="F121" s="7" t="s">
        <v>42</v>
      </c>
    </row>
    <row r="122" spans="1:6" x14ac:dyDescent="0.3">
      <c r="A122" s="5">
        <v>121</v>
      </c>
      <c r="B122" s="5" t="s">
        <v>169</v>
      </c>
      <c r="C122" s="5">
        <v>-1</v>
      </c>
      <c r="D122" s="5">
        <v>-2</v>
      </c>
      <c r="E122" s="5" t="s">
        <v>44</v>
      </c>
      <c r="F122" s="5" t="s">
        <v>42</v>
      </c>
    </row>
    <row r="123" spans="1:6" x14ac:dyDescent="0.3">
      <c r="A123" s="7">
        <v>122</v>
      </c>
      <c r="B123" s="7" t="s">
        <v>170</v>
      </c>
      <c r="C123" s="7">
        <v>-3</v>
      </c>
      <c r="D123" s="7">
        <v>-3</v>
      </c>
      <c r="E123" s="7" t="s">
        <v>41</v>
      </c>
      <c r="F123" s="7" t="s">
        <v>42</v>
      </c>
    </row>
    <row r="124" spans="1:6" x14ac:dyDescent="0.3">
      <c r="A124" s="5">
        <v>123</v>
      </c>
      <c r="B124" s="5" t="s">
        <v>171</v>
      </c>
      <c r="C124" s="5">
        <v>-2</v>
      </c>
      <c r="D124" s="5">
        <v>-2</v>
      </c>
      <c r="E124" s="5" t="s">
        <v>44</v>
      </c>
      <c r="F124" s="5" t="s">
        <v>42</v>
      </c>
    </row>
    <row r="125" spans="1:6" x14ac:dyDescent="0.3">
      <c r="A125" s="7">
        <v>124</v>
      </c>
      <c r="B125" s="7" t="s">
        <v>172</v>
      </c>
      <c r="C125" s="7">
        <v>-3</v>
      </c>
      <c r="D125" s="7">
        <v>-3</v>
      </c>
      <c r="E125" s="7" t="s">
        <v>41</v>
      </c>
      <c r="F125" s="7" t="s">
        <v>42</v>
      </c>
    </row>
    <row r="126" spans="1:6" x14ac:dyDescent="0.3">
      <c r="A126" s="5">
        <v>125</v>
      </c>
      <c r="B126" s="5" t="s">
        <v>173</v>
      </c>
      <c r="C126" s="5">
        <v>3</v>
      </c>
      <c r="D126" s="5">
        <v>-2</v>
      </c>
      <c r="E126" s="5" t="s">
        <v>44</v>
      </c>
      <c r="F126" s="5" t="s">
        <v>42</v>
      </c>
    </row>
    <row r="127" spans="1:6" x14ac:dyDescent="0.3">
      <c r="A127" s="7">
        <v>126</v>
      </c>
      <c r="B127" s="7" t="s">
        <v>174</v>
      </c>
      <c r="C127" s="7">
        <v>-2</v>
      </c>
      <c r="D127" s="7">
        <v>-3</v>
      </c>
      <c r="E127" s="7" t="s">
        <v>41</v>
      </c>
      <c r="F127" s="7" t="s">
        <v>42</v>
      </c>
    </row>
    <row r="128" spans="1:6" x14ac:dyDescent="0.3">
      <c r="A128" s="5">
        <v>127</v>
      </c>
      <c r="B128" s="5" t="s">
        <v>175</v>
      </c>
      <c r="C128" s="5">
        <v>-2</v>
      </c>
      <c r="D128" s="5">
        <v>-2</v>
      </c>
      <c r="E128" s="5" t="s">
        <v>44</v>
      </c>
      <c r="F128" s="5" t="s">
        <v>42</v>
      </c>
    </row>
    <row r="129" spans="1:6" x14ac:dyDescent="0.3">
      <c r="A129" s="7">
        <v>128</v>
      </c>
      <c r="B129" s="7" t="s">
        <v>176</v>
      </c>
      <c r="C129" s="7">
        <v>-1</v>
      </c>
      <c r="D129" s="7">
        <v>-3</v>
      </c>
      <c r="E129" s="7" t="s">
        <v>41</v>
      </c>
      <c r="F129" s="7" t="s">
        <v>42</v>
      </c>
    </row>
    <row r="130" spans="1:6" x14ac:dyDescent="0.3">
      <c r="A130" s="5">
        <v>129</v>
      </c>
      <c r="B130" s="5" t="s">
        <v>177</v>
      </c>
      <c r="C130" s="5">
        <v>-2</v>
      </c>
      <c r="D130" s="5">
        <v>-3</v>
      </c>
      <c r="E130" s="5" t="s">
        <v>41</v>
      </c>
      <c r="F130" s="5" t="s">
        <v>42</v>
      </c>
    </row>
    <row r="131" spans="1:6" x14ac:dyDescent="0.3">
      <c r="A131" s="7">
        <v>130</v>
      </c>
      <c r="B131" s="7" t="s">
        <v>178</v>
      </c>
      <c r="C131" s="7">
        <v>-2</v>
      </c>
      <c r="D131" s="7">
        <v>-2</v>
      </c>
      <c r="E131" s="7" t="s">
        <v>44</v>
      </c>
      <c r="F131" s="7" t="s">
        <v>42</v>
      </c>
    </row>
    <row r="132" spans="1:6" x14ac:dyDescent="0.3">
      <c r="A132" s="5">
        <v>131</v>
      </c>
      <c r="B132" s="5" t="s">
        <v>179</v>
      </c>
      <c r="C132" s="5">
        <v>2</v>
      </c>
      <c r="D132" s="5">
        <v>-2</v>
      </c>
      <c r="E132" s="5" t="s">
        <v>44</v>
      </c>
      <c r="F132" s="5" t="s">
        <v>42</v>
      </c>
    </row>
    <row r="133" spans="1:6" x14ac:dyDescent="0.3">
      <c r="A133" s="7">
        <v>132</v>
      </c>
      <c r="B133" s="7" t="s">
        <v>180</v>
      </c>
      <c r="C133" s="7">
        <v>-3</v>
      </c>
      <c r="D133" s="7">
        <v>-3</v>
      </c>
      <c r="E133" s="7" t="s">
        <v>41</v>
      </c>
      <c r="F133" s="7" t="s">
        <v>42</v>
      </c>
    </row>
    <row r="134" spans="1:6" x14ac:dyDescent="0.3">
      <c r="A134" s="5">
        <v>133</v>
      </c>
      <c r="B134" s="5" t="s">
        <v>181</v>
      </c>
      <c r="C134" s="5">
        <v>-2</v>
      </c>
      <c r="D134" s="5">
        <v>-3</v>
      </c>
      <c r="E134" s="5" t="s">
        <v>41</v>
      </c>
      <c r="F134" s="5" t="s">
        <v>42</v>
      </c>
    </row>
    <row r="135" spans="1:6" x14ac:dyDescent="0.3">
      <c r="A135" s="7">
        <v>134</v>
      </c>
      <c r="B135" s="7" t="s">
        <v>182</v>
      </c>
      <c r="C135" s="7">
        <v>3</v>
      </c>
      <c r="D135" s="7">
        <v>-2</v>
      </c>
      <c r="E135" s="7" t="s">
        <v>44</v>
      </c>
      <c r="F135" s="7" t="s">
        <v>42</v>
      </c>
    </row>
    <row r="136" spans="1:6" x14ac:dyDescent="0.3">
      <c r="A136" s="5">
        <v>135</v>
      </c>
      <c r="B136" s="5" t="s">
        <v>183</v>
      </c>
      <c r="C136" s="5">
        <v>-4</v>
      </c>
      <c r="D136" s="5">
        <v>-3</v>
      </c>
      <c r="E136" s="5" t="s">
        <v>41</v>
      </c>
      <c r="F136" s="5" t="s">
        <v>42</v>
      </c>
    </row>
    <row r="137" spans="1:6" x14ac:dyDescent="0.3">
      <c r="A137" s="7">
        <v>136</v>
      </c>
      <c r="B137" s="7" t="s">
        <v>184</v>
      </c>
      <c r="C137" s="7">
        <v>-3</v>
      </c>
      <c r="D137" s="7">
        <v>-3</v>
      </c>
      <c r="E137" s="7" t="s">
        <v>41</v>
      </c>
      <c r="F137" s="7" t="s">
        <v>42</v>
      </c>
    </row>
    <row r="138" spans="1:6" x14ac:dyDescent="0.3">
      <c r="A138" s="5">
        <v>137</v>
      </c>
      <c r="B138" s="5" t="s">
        <v>185</v>
      </c>
      <c r="C138" s="5">
        <v>2</v>
      </c>
      <c r="D138" s="5">
        <v>-2</v>
      </c>
      <c r="E138" s="5" t="s">
        <v>44</v>
      </c>
      <c r="F138" s="5" t="s">
        <v>42</v>
      </c>
    </row>
    <row r="139" spans="1:6" x14ac:dyDescent="0.3">
      <c r="A139" s="7">
        <v>138</v>
      </c>
      <c r="B139" s="7" t="s">
        <v>186</v>
      </c>
      <c r="C139" s="7">
        <v>-2</v>
      </c>
      <c r="D139" s="7">
        <v>-2</v>
      </c>
      <c r="E139" s="7" t="s">
        <v>44</v>
      </c>
      <c r="F139" s="7" t="s">
        <v>42</v>
      </c>
    </row>
    <row r="140" spans="1:6" x14ac:dyDescent="0.3">
      <c r="A140" s="5">
        <v>139</v>
      </c>
      <c r="B140" s="5" t="s">
        <v>187</v>
      </c>
      <c r="C140" s="5">
        <v>-2</v>
      </c>
      <c r="D140" s="5">
        <v>-2</v>
      </c>
      <c r="E140" s="5" t="s">
        <v>44</v>
      </c>
      <c r="F140" s="5" t="s">
        <v>42</v>
      </c>
    </row>
    <row r="141" spans="1:6" x14ac:dyDescent="0.3">
      <c r="A141" s="7">
        <v>140</v>
      </c>
      <c r="B141" s="7" t="s">
        <v>188</v>
      </c>
      <c r="C141" s="7">
        <v>-3</v>
      </c>
      <c r="D141" s="7">
        <v>-2</v>
      </c>
      <c r="E141" s="7" t="s">
        <v>44</v>
      </c>
      <c r="F141" s="7" t="s">
        <v>42</v>
      </c>
    </row>
    <row r="142" spans="1:6" x14ac:dyDescent="0.3">
      <c r="A142" s="5">
        <v>141</v>
      </c>
      <c r="B142" s="5" t="s">
        <v>189</v>
      </c>
      <c r="C142" s="5">
        <v>-1</v>
      </c>
      <c r="D142" s="5">
        <v>-2</v>
      </c>
      <c r="E142" s="5" t="s">
        <v>44</v>
      </c>
      <c r="F142" s="5" t="s">
        <v>42</v>
      </c>
    </row>
    <row r="143" spans="1:6" x14ac:dyDescent="0.3">
      <c r="A143" s="7">
        <v>142</v>
      </c>
      <c r="B143" s="7" t="s">
        <v>190</v>
      </c>
      <c r="C143" s="7">
        <v>-2</v>
      </c>
      <c r="D143" s="7">
        <v>-3</v>
      </c>
      <c r="E143" s="7" t="s">
        <v>41</v>
      </c>
      <c r="F143" s="7" t="s">
        <v>42</v>
      </c>
    </row>
    <row r="144" spans="1:6" x14ac:dyDescent="0.3">
      <c r="A144" s="5">
        <v>143</v>
      </c>
      <c r="B144" s="5" t="s">
        <v>191</v>
      </c>
      <c r="C144" s="5">
        <v>-3</v>
      </c>
      <c r="D144" s="5">
        <v>-4</v>
      </c>
      <c r="E144" s="5" t="s">
        <v>46</v>
      </c>
      <c r="F144" s="5" t="s">
        <v>42</v>
      </c>
    </row>
    <row r="145" spans="1:6" x14ac:dyDescent="0.3">
      <c r="A145" s="7">
        <v>144</v>
      </c>
      <c r="B145" s="7" t="s">
        <v>192</v>
      </c>
      <c r="C145" s="7">
        <v>-1</v>
      </c>
      <c r="D145" s="7">
        <v>-1</v>
      </c>
      <c r="E145" s="7" t="s">
        <v>55</v>
      </c>
      <c r="F145" s="7" t="s">
        <v>42</v>
      </c>
    </row>
    <row r="146" spans="1:6" x14ac:dyDescent="0.3">
      <c r="A146" s="5">
        <v>145</v>
      </c>
      <c r="B146" s="5" t="s">
        <v>193</v>
      </c>
      <c r="C146" s="5">
        <v>-2</v>
      </c>
      <c r="D146" s="5">
        <v>-2</v>
      </c>
      <c r="E146" s="5" t="s">
        <v>44</v>
      </c>
      <c r="F146" s="5" t="s">
        <v>42</v>
      </c>
    </row>
    <row r="147" spans="1:6" x14ac:dyDescent="0.3">
      <c r="A147" s="7">
        <v>146</v>
      </c>
      <c r="B147" s="7" t="s">
        <v>194</v>
      </c>
      <c r="C147" s="7">
        <v>-2</v>
      </c>
      <c r="D147" s="7">
        <v>-3</v>
      </c>
      <c r="E147" s="7" t="s">
        <v>41</v>
      </c>
      <c r="F147" s="7" t="s">
        <v>42</v>
      </c>
    </row>
    <row r="148" spans="1:6" x14ac:dyDescent="0.3">
      <c r="A148" s="5">
        <v>147</v>
      </c>
      <c r="B148" s="5" t="s">
        <v>195</v>
      </c>
      <c r="C148" s="5">
        <v>-4</v>
      </c>
      <c r="D148" s="5">
        <v>-4</v>
      </c>
      <c r="E148" s="5" t="s">
        <v>46</v>
      </c>
      <c r="F148" s="5" t="s">
        <v>42</v>
      </c>
    </row>
    <row r="149" spans="1:6" x14ac:dyDescent="0.3">
      <c r="A149" s="7">
        <v>148</v>
      </c>
      <c r="B149" s="7" t="s">
        <v>196</v>
      </c>
      <c r="C149" s="7">
        <v>3</v>
      </c>
      <c r="D149" s="7">
        <v>-2</v>
      </c>
      <c r="E149" s="7" t="s">
        <v>44</v>
      </c>
      <c r="F149" s="7" t="s">
        <v>42</v>
      </c>
    </row>
    <row r="150" spans="1:6" x14ac:dyDescent="0.3">
      <c r="A150" s="5">
        <v>149</v>
      </c>
      <c r="B150" s="5" t="s">
        <v>197</v>
      </c>
      <c r="C150" s="5">
        <v>2</v>
      </c>
      <c r="D150" s="5">
        <v>-2</v>
      </c>
      <c r="E150" s="5" t="s">
        <v>44</v>
      </c>
      <c r="F150" s="5" t="s">
        <v>42</v>
      </c>
    </row>
    <row r="151" spans="1:6" x14ac:dyDescent="0.3">
      <c r="A151" s="7">
        <v>150</v>
      </c>
      <c r="B151" s="7" t="s">
        <v>198</v>
      </c>
      <c r="C151" s="7">
        <v>-4</v>
      </c>
      <c r="D151" s="7">
        <v>-3</v>
      </c>
      <c r="E151" s="7" t="s">
        <v>41</v>
      </c>
      <c r="F151" s="7" t="s">
        <v>42</v>
      </c>
    </row>
    <row r="152" spans="1:6" x14ac:dyDescent="0.3">
      <c r="A152" s="5">
        <v>151</v>
      </c>
      <c r="B152" s="5" t="s">
        <v>199</v>
      </c>
      <c r="C152" s="5">
        <v>1</v>
      </c>
      <c r="D152" s="5">
        <v>-3</v>
      </c>
      <c r="E152" s="5" t="s">
        <v>41</v>
      </c>
      <c r="F152" s="5" t="s">
        <v>42</v>
      </c>
    </row>
    <row r="153" spans="1:6" x14ac:dyDescent="0.3">
      <c r="A153" s="7">
        <v>152</v>
      </c>
      <c r="B153" s="7" t="s">
        <v>200</v>
      </c>
      <c r="C153" s="7">
        <v>-1</v>
      </c>
      <c r="D153" s="7">
        <v>-2</v>
      </c>
      <c r="E153" s="7" t="s">
        <v>44</v>
      </c>
      <c r="F153" s="7" t="s">
        <v>42</v>
      </c>
    </row>
    <row r="154" spans="1:6" x14ac:dyDescent="0.3">
      <c r="A154" s="5">
        <v>153</v>
      </c>
      <c r="B154" s="5" t="s">
        <v>201</v>
      </c>
      <c r="C154" s="5">
        <v>-1</v>
      </c>
      <c r="D154" s="5">
        <v>-3</v>
      </c>
      <c r="E154" s="5" t="s">
        <v>41</v>
      </c>
      <c r="F154" s="5" t="s">
        <v>42</v>
      </c>
    </row>
    <row r="155" spans="1:6" x14ac:dyDescent="0.3">
      <c r="A155" s="7">
        <v>154</v>
      </c>
      <c r="B155" s="7" t="s">
        <v>202</v>
      </c>
      <c r="C155" s="7">
        <v>-2</v>
      </c>
      <c r="D155" s="7">
        <v>-2</v>
      </c>
      <c r="E155" s="7" t="s">
        <v>44</v>
      </c>
      <c r="F155" s="7" t="s">
        <v>42</v>
      </c>
    </row>
    <row r="156" spans="1:6" x14ac:dyDescent="0.3">
      <c r="A156" s="5">
        <v>155</v>
      </c>
      <c r="B156" s="5" t="s">
        <v>203</v>
      </c>
      <c r="C156" s="5">
        <v>-4</v>
      </c>
      <c r="D156" s="5">
        <v>-3</v>
      </c>
      <c r="E156" s="5" t="s">
        <v>41</v>
      </c>
      <c r="F156" s="5" t="s">
        <v>42</v>
      </c>
    </row>
    <row r="157" spans="1:6" x14ac:dyDescent="0.3">
      <c r="A157" s="7">
        <v>156</v>
      </c>
      <c r="B157" s="7" t="s">
        <v>204</v>
      </c>
      <c r="C157" s="7">
        <v>1</v>
      </c>
      <c r="D157" s="7">
        <v>-2</v>
      </c>
      <c r="E157" s="7" t="s">
        <v>44</v>
      </c>
      <c r="F157" s="7" t="s">
        <v>42</v>
      </c>
    </row>
    <row r="158" spans="1:6" x14ac:dyDescent="0.3">
      <c r="A158" s="5">
        <v>157</v>
      </c>
      <c r="B158" s="5" t="s">
        <v>205</v>
      </c>
      <c r="C158" s="5">
        <v>-3</v>
      </c>
      <c r="D158" s="5">
        <v>-3</v>
      </c>
      <c r="E158" s="5" t="s">
        <v>41</v>
      </c>
      <c r="F158" s="5" t="s">
        <v>42</v>
      </c>
    </row>
    <row r="159" spans="1:6" x14ac:dyDescent="0.3">
      <c r="A159" s="7">
        <v>158</v>
      </c>
      <c r="B159" s="7" t="s">
        <v>206</v>
      </c>
      <c r="C159" s="7">
        <v>3</v>
      </c>
      <c r="D159" s="7">
        <v>-2</v>
      </c>
      <c r="E159" s="7" t="s">
        <v>44</v>
      </c>
      <c r="F159" s="7" t="s">
        <v>42</v>
      </c>
    </row>
    <row r="160" spans="1:6" x14ac:dyDescent="0.3">
      <c r="A160" s="5">
        <v>159</v>
      </c>
      <c r="B160" s="5" t="s">
        <v>207</v>
      </c>
      <c r="C160" s="5">
        <v>1</v>
      </c>
      <c r="D160" s="5">
        <v>-2</v>
      </c>
      <c r="E160" s="5" t="s">
        <v>44</v>
      </c>
      <c r="F160" s="5" t="s">
        <v>42</v>
      </c>
    </row>
    <row r="161" spans="1:6" x14ac:dyDescent="0.3">
      <c r="A161" s="7">
        <v>160</v>
      </c>
      <c r="B161" s="7" t="s">
        <v>208</v>
      </c>
      <c r="C161" s="7">
        <v>-3</v>
      </c>
      <c r="D161" s="7">
        <v>-3</v>
      </c>
      <c r="E161" s="7" t="s">
        <v>41</v>
      </c>
      <c r="F161" s="7" t="s">
        <v>42</v>
      </c>
    </row>
    <row r="162" spans="1:6" x14ac:dyDescent="0.3">
      <c r="A162" s="5">
        <v>161</v>
      </c>
      <c r="B162" s="5" t="s">
        <v>209</v>
      </c>
      <c r="C162" s="5">
        <v>-4</v>
      </c>
      <c r="D162" s="5">
        <v>-3</v>
      </c>
      <c r="E162" s="5" t="s">
        <v>41</v>
      </c>
      <c r="F162" s="5" t="s">
        <v>42</v>
      </c>
    </row>
    <row r="163" spans="1:6" x14ac:dyDescent="0.3">
      <c r="A163" s="7">
        <v>162</v>
      </c>
      <c r="B163" s="7" t="s">
        <v>210</v>
      </c>
      <c r="C163" s="7">
        <v>-2</v>
      </c>
      <c r="D163" s="7">
        <v>-3</v>
      </c>
      <c r="E163" s="7" t="s">
        <v>41</v>
      </c>
      <c r="F163" s="7" t="s">
        <v>42</v>
      </c>
    </row>
    <row r="164" spans="1:6" x14ac:dyDescent="0.3">
      <c r="A164" s="5">
        <v>163</v>
      </c>
      <c r="B164" s="5" t="s">
        <v>211</v>
      </c>
      <c r="C164" s="5">
        <v>1</v>
      </c>
      <c r="D164" s="5">
        <v>-2</v>
      </c>
      <c r="E164" s="5" t="s">
        <v>44</v>
      </c>
      <c r="F164" s="5" t="s">
        <v>42</v>
      </c>
    </row>
    <row r="165" spans="1:6" x14ac:dyDescent="0.3">
      <c r="A165" s="7">
        <v>164</v>
      </c>
      <c r="B165" s="7" t="s">
        <v>212</v>
      </c>
      <c r="C165" s="7">
        <v>3</v>
      </c>
      <c r="D165" s="7">
        <v>-3</v>
      </c>
      <c r="E165" s="7" t="s">
        <v>41</v>
      </c>
      <c r="F165" s="7" t="s">
        <v>42</v>
      </c>
    </row>
    <row r="166" spans="1:6" x14ac:dyDescent="0.3">
      <c r="A166" s="5">
        <v>165</v>
      </c>
      <c r="B166" s="5" t="s">
        <v>213</v>
      </c>
      <c r="C166" s="5">
        <v>-2</v>
      </c>
      <c r="D166" s="5">
        <v>-2</v>
      </c>
      <c r="E166" s="5" t="s">
        <v>44</v>
      </c>
      <c r="F166" s="5" t="s">
        <v>42</v>
      </c>
    </row>
    <row r="167" spans="1:6" x14ac:dyDescent="0.3">
      <c r="A167" s="7">
        <v>166</v>
      </c>
      <c r="B167" s="7" t="s">
        <v>214</v>
      </c>
      <c r="C167" s="7">
        <v>-3</v>
      </c>
      <c r="D167" s="7">
        <v>-3</v>
      </c>
      <c r="E167" s="7" t="s">
        <v>41</v>
      </c>
      <c r="F167" s="7" t="s">
        <v>42</v>
      </c>
    </row>
    <row r="168" spans="1:6" x14ac:dyDescent="0.3">
      <c r="A168" s="5">
        <v>167</v>
      </c>
      <c r="B168" s="5" t="s">
        <v>215</v>
      </c>
      <c r="C168" s="5">
        <v>1</v>
      </c>
      <c r="D168" s="5">
        <v>-2</v>
      </c>
      <c r="E168" s="5" t="s">
        <v>44</v>
      </c>
      <c r="F168" s="5" t="s">
        <v>42</v>
      </c>
    </row>
    <row r="169" spans="1:6" x14ac:dyDescent="0.3">
      <c r="A169" s="7">
        <v>168</v>
      </c>
      <c r="B169" s="7" t="s">
        <v>216</v>
      </c>
      <c r="C169" s="7">
        <v>-3</v>
      </c>
      <c r="D169" s="7">
        <v>-3</v>
      </c>
      <c r="E169" s="7" t="s">
        <v>41</v>
      </c>
      <c r="F169" s="7" t="s">
        <v>42</v>
      </c>
    </row>
    <row r="170" spans="1:6" x14ac:dyDescent="0.3">
      <c r="A170" s="5">
        <v>169</v>
      </c>
      <c r="B170" s="5" t="s">
        <v>217</v>
      </c>
      <c r="C170" s="5">
        <v>-4</v>
      </c>
      <c r="D170" s="5">
        <v>-4</v>
      </c>
      <c r="E170" s="5" t="s">
        <v>46</v>
      </c>
      <c r="F170" s="5" t="s">
        <v>42</v>
      </c>
    </row>
    <row r="171" spans="1:6" x14ac:dyDescent="0.3">
      <c r="A171" s="7">
        <v>170</v>
      </c>
      <c r="B171" s="7" t="s">
        <v>218</v>
      </c>
      <c r="C171" s="7">
        <v>-1</v>
      </c>
      <c r="D171" s="7">
        <v>-2</v>
      </c>
      <c r="E171" s="7" t="s">
        <v>44</v>
      </c>
      <c r="F171" s="7" t="s">
        <v>42</v>
      </c>
    </row>
    <row r="172" spans="1:6" x14ac:dyDescent="0.3">
      <c r="A172" s="5">
        <v>171</v>
      </c>
      <c r="B172" s="5" t="s">
        <v>219</v>
      </c>
      <c r="C172" s="5">
        <v>-2</v>
      </c>
      <c r="D172" s="5">
        <v>-2</v>
      </c>
      <c r="E172" s="5" t="s">
        <v>44</v>
      </c>
      <c r="F172" s="5" t="s">
        <v>42</v>
      </c>
    </row>
    <row r="173" spans="1:6" x14ac:dyDescent="0.3">
      <c r="A173" s="7">
        <v>172</v>
      </c>
      <c r="B173" s="7" t="s">
        <v>220</v>
      </c>
      <c r="C173" s="7">
        <v>-4</v>
      </c>
      <c r="D173" s="7">
        <v>-3</v>
      </c>
      <c r="E173" s="7" t="s">
        <v>41</v>
      </c>
      <c r="F173" s="7" t="s">
        <v>42</v>
      </c>
    </row>
    <row r="174" spans="1:6" x14ac:dyDescent="0.3">
      <c r="A174" s="5">
        <v>173</v>
      </c>
      <c r="B174" s="5" t="s">
        <v>221</v>
      </c>
      <c r="C174" s="5">
        <v>-1</v>
      </c>
      <c r="D174" s="5">
        <v>-3</v>
      </c>
      <c r="E174" s="5" t="s">
        <v>41</v>
      </c>
      <c r="F174" s="5" t="s">
        <v>42</v>
      </c>
    </row>
    <row r="175" spans="1:6" x14ac:dyDescent="0.3">
      <c r="A175" s="7">
        <v>174</v>
      </c>
      <c r="B175" s="7" t="s">
        <v>222</v>
      </c>
      <c r="C175" s="7">
        <v>1</v>
      </c>
      <c r="D175" s="7">
        <v>-2</v>
      </c>
      <c r="E175" s="7" t="s">
        <v>44</v>
      </c>
      <c r="F175" s="7" t="s">
        <v>42</v>
      </c>
    </row>
    <row r="176" spans="1:6" x14ac:dyDescent="0.3">
      <c r="A176" s="5">
        <v>175</v>
      </c>
      <c r="B176" s="5" t="s">
        <v>223</v>
      </c>
      <c r="C176" s="5">
        <v>-4</v>
      </c>
      <c r="D176" s="5">
        <v>-4</v>
      </c>
      <c r="E176" s="5" t="s">
        <v>46</v>
      </c>
      <c r="F176" s="5" t="s">
        <v>42</v>
      </c>
    </row>
    <row r="177" spans="1:6" x14ac:dyDescent="0.3">
      <c r="A177" s="7">
        <v>176</v>
      </c>
      <c r="B177" s="7" t="s">
        <v>224</v>
      </c>
      <c r="C177" s="7">
        <v>-4</v>
      </c>
      <c r="D177" s="7">
        <v>-3</v>
      </c>
      <c r="E177" s="7" t="s">
        <v>41</v>
      </c>
      <c r="F177" s="7" t="s">
        <v>42</v>
      </c>
    </row>
    <row r="178" spans="1:6" x14ac:dyDescent="0.3">
      <c r="A178" s="5">
        <v>177</v>
      </c>
      <c r="B178" s="5" t="s">
        <v>225</v>
      </c>
      <c r="C178" s="5">
        <v>1</v>
      </c>
      <c r="D178" s="5">
        <v>-2</v>
      </c>
      <c r="E178" s="5" t="s">
        <v>44</v>
      </c>
      <c r="F178" s="5" t="s">
        <v>42</v>
      </c>
    </row>
    <row r="179" spans="1:6" x14ac:dyDescent="0.3">
      <c r="A179" s="7">
        <v>178</v>
      </c>
      <c r="B179" s="7" t="s">
        <v>226</v>
      </c>
      <c r="C179" s="7">
        <v>-2</v>
      </c>
      <c r="D179" s="7">
        <v>-3</v>
      </c>
      <c r="E179" s="7" t="s">
        <v>41</v>
      </c>
      <c r="F179" s="7" t="s">
        <v>42</v>
      </c>
    </row>
    <row r="180" spans="1:6" x14ac:dyDescent="0.3">
      <c r="A180" s="5">
        <v>179</v>
      </c>
      <c r="B180" s="5" t="s">
        <v>227</v>
      </c>
      <c r="C180" s="5">
        <v>-2</v>
      </c>
      <c r="D180" s="5">
        <v>-3</v>
      </c>
      <c r="E180" s="5" t="s">
        <v>41</v>
      </c>
      <c r="F180" s="5" t="s">
        <v>42</v>
      </c>
    </row>
    <row r="181" spans="1:6" x14ac:dyDescent="0.3">
      <c r="A181" s="7">
        <v>180</v>
      </c>
      <c r="B181" s="7" t="s">
        <v>228</v>
      </c>
      <c r="C181" s="7">
        <v>-4</v>
      </c>
      <c r="D181" s="7">
        <v>-3</v>
      </c>
      <c r="E181" s="7" t="s">
        <v>41</v>
      </c>
      <c r="F181" s="7" t="s">
        <v>42</v>
      </c>
    </row>
    <row r="182" spans="1:6" x14ac:dyDescent="0.3">
      <c r="A182" s="5">
        <v>181</v>
      </c>
      <c r="B182" s="5" t="s">
        <v>229</v>
      </c>
      <c r="C182" s="5">
        <v>-2</v>
      </c>
      <c r="D182" s="5">
        <v>-3</v>
      </c>
      <c r="E182" s="5" t="s">
        <v>41</v>
      </c>
      <c r="F182" s="5" t="s">
        <v>42</v>
      </c>
    </row>
    <row r="183" spans="1:6" x14ac:dyDescent="0.3">
      <c r="A183" s="7">
        <v>182</v>
      </c>
      <c r="B183" s="7" t="s">
        <v>230</v>
      </c>
      <c r="C183" s="7">
        <v>2</v>
      </c>
      <c r="D183" s="7">
        <v>-2</v>
      </c>
      <c r="E183" s="7" t="s">
        <v>44</v>
      </c>
      <c r="F183" s="7" t="s">
        <v>42</v>
      </c>
    </row>
    <row r="184" spans="1:6" x14ac:dyDescent="0.3">
      <c r="A184" s="5">
        <v>183</v>
      </c>
      <c r="B184" s="5" t="s">
        <v>231</v>
      </c>
      <c r="C184" s="5">
        <v>-4</v>
      </c>
      <c r="D184" s="5">
        <v>-3</v>
      </c>
      <c r="E184" s="5" t="s">
        <v>41</v>
      </c>
      <c r="F184" s="5" t="s">
        <v>42</v>
      </c>
    </row>
    <row r="185" spans="1:6" x14ac:dyDescent="0.3">
      <c r="A185" s="7">
        <v>184</v>
      </c>
      <c r="B185" s="7" t="s">
        <v>232</v>
      </c>
      <c r="C185" s="7">
        <v>-2</v>
      </c>
      <c r="D185" s="7">
        <v>-2</v>
      </c>
      <c r="E185" s="7" t="s">
        <v>44</v>
      </c>
      <c r="F185" s="7" t="s">
        <v>42</v>
      </c>
    </row>
    <row r="186" spans="1:6" x14ac:dyDescent="0.3">
      <c r="A186" s="5">
        <v>185</v>
      </c>
      <c r="B186" s="5" t="s">
        <v>233</v>
      </c>
      <c r="C186" s="5">
        <v>-4</v>
      </c>
      <c r="D186" s="5">
        <v>-3</v>
      </c>
      <c r="E186" s="5" t="s">
        <v>41</v>
      </c>
      <c r="F186" s="5" t="s">
        <v>42</v>
      </c>
    </row>
    <row r="187" spans="1:6" x14ac:dyDescent="0.3">
      <c r="A187" s="7">
        <v>186</v>
      </c>
      <c r="B187" s="7" t="s">
        <v>234</v>
      </c>
      <c r="C187" s="7">
        <v>1</v>
      </c>
      <c r="D187" s="7">
        <v>-2</v>
      </c>
      <c r="E187" s="7" t="s">
        <v>44</v>
      </c>
      <c r="F187" s="7" t="s">
        <v>42</v>
      </c>
    </row>
    <row r="188" spans="1:6" x14ac:dyDescent="0.3">
      <c r="A188" s="5">
        <v>187</v>
      </c>
      <c r="B188" s="5" t="s">
        <v>235</v>
      </c>
      <c r="C188" s="5">
        <v>1</v>
      </c>
      <c r="D188" s="5">
        <v>-2</v>
      </c>
      <c r="E188" s="5" t="s">
        <v>44</v>
      </c>
      <c r="F188" s="5" t="s">
        <v>42</v>
      </c>
    </row>
    <row r="189" spans="1:6" x14ac:dyDescent="0.3">
      <c r="A189" s="7">
        <v>188</v>
      </c>
      <c r="B189" s="7" t="s">
        <v>236</v>
      </c>
      <c r="C189" s="7">
        <v>-1</v>
      </c>
      <c r="D189" s="7">
        <v>-3</v>
      </c>
      <c r="E189" s="7" t="s">
        <v>41</v>
      </c>
      <c r="F189" s="7" t="s">
        <v>42</v>
      </c>
    </row>
    <row r="190" spans="1:6" x14ac:dyDescent="0.3">
      <c r="A190" s="5">
        <v>189</v>
      </c>
      <c r="B190" s="5" t="s">
        <v>237</v>
      </c>
      <c r="C190" s="5">
        <v>-2</v>
      </c>
      <c r="D190" s="5">
        <v>-2</v>
      </c>
      <c r="E190" s="5" t="s">
        <v>44</v>
      </c>
      <c r="F190" s="5" t="s">
        <v>42</v>
      </c>
    </row>
    <row r="191" spans="1:6" x14ac:dyDescent="0.3">
      <c r="A191" s="7">
        <v>190</v>
      </c>
      <c r="B191" s="7" t="s">
        <v>238</v>
      </c>
      <c r="C191" s="7">
        <v>3</v>
      </c>
      <c r="D191" s="7">
        <v>-2</v>
      </c>
      <c r="E191" s="7" t="s">
        <v>44</v>
      </c>
      <c r="F191" s="7" t="s">
        <v>42</v>
      </c>
    </row>
    <row r="192" spans="1:6" x14ac:dyDescent="0.3">
      <c r="A192" s="5">
        <v>191</v>
      </c>
      <c r="B192" s="5" t="s">
        <v>239</v>
      </c>
      <c r="C192" s="5">
        <v>-1</v>
      </c>
      <c r="D192" s="5">
        <v>-2</v>
      </c>
      <c r="E192" s="5" t="s">
        <v>44</v>
      </c>
      <c r="F192" s="5" t="s">
        <v>42</v>
      </c>
    </row>
    <row r="193" spans="1:6" x14ac:dyDescent="0.3">
      <c r="A193" s="7">
        <v>192</v>
      </c>
      <c r="B193" s="7" t="s">
        <v>240</v>
      </c>
      <c r="C193" s="7">
        <v>2</v>
      </c>
      <c r="D193" s="7">
        <v>-2</v>
      </c>
      <c r="E193" s="7" t="s">
        <v>44</v>
      </c>
      <c r="F193" s="7" t="s">
        <v>42</v>
      </c>
    </row>
    <row r="194" spans="1:6" x14ac:dyDescent="0.3">
      <c r="A194" s="5">
        <v>193</v>
      </c>
      <c r="B194" s="5" t="s">
        <v>241</v>
      </c>
      <c r="C194" s="5">
        <v>1</v>
      </c>
      <c r="D194" s="5">
        <v>-2</v>
      </c>
      <c r="E194" s="5" t="s">
        <v>44</v>
      </c>
      <c r="F194" s="5" t="s">
        <v>42</v>
      </c>
    </row>
    <row r="195" spans="1:6" x14ac:dyDescent="0.3">
      <c r="A195" s="7">
        <v>194</v>
      </c>
      <c r="B195" s="7" t="s">
        <v>242</v>
      </c>
      <c r="C195" s="7">
        <v>-2</v>
      </c>
      <c r="D195" s="7">
        <v>-3</v>
      </c>
      <c r="E195" s="7" t="s">
        <v>41</v>
      </c>
      <c r="F195" s="7" t="s">
        <v>42</v>
      </c>
    </row>
    <row r="196" spans="1:6" x14ac:dyDescent="0.3">
      <c r="A196" s="5">
        <v>195</v>
      </c>
      <c r="B196" s="5" t="s">
        <v>243</v>
      </c>
      <c r="C196" s="5">
        <v>1</v>
      </c>
      <c r="D196" s="5">
        <v>-2</v>
      </c>
      <c r="E196" s="5" t="s">
        <v>44</v>
      </c>
      <c r="F196" s="5" t="s">
        <v>42</v>
      </c>
    </row>
    <row r="197" spans="1:6" x14ac:dyDescent="0.3">
      <c r="A197" s="7">
        <v>196</v>
      </c>
      <c r="B197" s="7" t="s">
        <v>244</v>
      </c>
      <c r="C197" s="7">
        <v>-4</v>
      </c>
      <c r="D197" s="7">
        <v>-3</v>
      </c>
      <c r="E197" s="7" t="s">
        <v>41</v>
      </c>
      <c r="F197" s="7" t="s">
        <v>42</v>
      </c>
    </row>
    <row r="198" spans="1:6" x14ac:dyDescent="0.3">
      <c r="A198" s="5">
        <v>197</v>
      </c>
      <c r="B198" s="5" t="s">
        <v>245</v>
      </c>
      <c r="C198" s="5">
        <v>-2</v>
      </c>
      <c r="D198" s="5">
        <v>-2</v>
      </c>
      <c r="E198" s="5" t="s">
        <v>44</v>
      </c>
      <c r="F198" s="5" t="s">
        <v>42</v>
      </c>
    </row>
    <row r="199" spans="1:6" x14ac:dyDescent="0.3">
      <c r="A199" s="7">
        <v>198</v>
      </c>
      <c r="B199" s="7" t="s">
        <v>246</v>
      </c>
      <c r="C199" s="7">
        <v>-3</v>
      </c>
      <c r="D199" s="7">
        <v>-3</v>
      </c>
      <c r="E199" s="7" t="s">
        <v>41</v>
      </c>
      <c r="F199" s="7" t="s">
        <v>42</v>
      </c>
    </row>
    <row r="200" spans="1:6" x14ac:dyDescent="0.3">
      <c r="A200" s="5">
        <v>199</v>
      </c>
      <c r="B200" s="5" t="s">
        <v>247</v>
      </c>
      <c r="C200" s="5">
        <v>-2</v>
      </c>
      <c r="D200" s="5">
        <v>-2</v>
      </c>
      <c r="E200" s="5" t="s">
        <v>44</v>
      </c>
      <c r="F200" s="5" t="s">
        <v>42</v>
      </c>
    </row>
    <row r="201" spans="1:6" x14ac:dyDescent="0.3">
      <c r="A201" s="7">
        <v>200</v>
      </c>
      <c r="B201" s="7" t="s">
        <v>248</v>
      </c>
      <c r="C201" s="7">
        <v>1</v>
      </c>
      <c r="D201" s="7">
        <v>-2</v>
      </c>
      <c r="E201" s="7" t="s">
        <v>44</v>
      </c>
      <c r="F201" s="7" t="s">
        <v>42</v>
      </c>
    </row>
    <row r="202" spans="1:6" x14ac:dyDescent="0.3">
      <c r="A202" s="5">
        <v>201</v>
      </c>
      <c r="B202" s="5" t="s">
        <v>249</v>
      </c>
      <c r="C202" s="5">
        <v>-1</v>
      </c>
      <c r="D202" s="5">
        <v>-1</v>
      </c>
      <c r="E202" s="5" t="s">
        <v>55</v>
      </c>
      <c r="F202" s="5" t="s">
        <v>42</v>
      </c>
    </row>
    <row r="203" spans="1:6" x14ac:dyDescent="0.3">
      <c r="A203" s="7">
        <v>202</v>
      </c>
      <c r="B203" s="7" t="s">
        <v>250</v>
      </c>
      <c r="C203" s="7">
        <v>1</v>
      </c>
      <c r="D203" s="7">
        <v>-2</v>
      </c>
      <c r="E203" s="7" t="s">
        <v>44</v>
      </c>
      <c r="F203" s="7" t="s">
        <v>42</v>
      </c>
    </row>
    <row r="204" spans="1:6" x14ac:dyDescent="0.3">
      <c r="A204" s="5">
        <v>203</v>
      </c>
      <c r="B204" s="5" t="s">
        <v>251</v>
      </c>
      <c r="C204" s="5">
        <v>-1</v>
      </c>
      <c r="D204" s="5">
        <v>-2</v>
      </c>
      <c r="E204" s="5" t="s">
        <v>44</v>
      </c>
      <c r="F204" s="5" t="s">
        <v>42</v>
      </c>
    </row>
    <row r="205" spans="1:6" x14ac:dyDescent="0.3">
      <c r="A205" s="7">
        <v>204</v>
      </c>
      <c r="B205" s="7" t="s">
        <v>252</v>
      </c>
      <c r="C205" s="7">
        <v>-1</v>
      </c>
      <c r="D205" s="7">
        <v>-3</v>
      </c>
      <c r="E205" s="7" t="s">
        <v>41</v>
      </c>
      <c r="F205" s="7" t="s">
        <v>42</v>
      </c>
    </row>
    <row r="206" spans="1:6" x14ac:dyDescent="0.3">
      <c r="A206" s="5">
        <v>205</v>
      </c>
      <c r="B206" s="5" t="s">
        <v>253</v>
      </c>
      <c r="C206" s="5">
        <v>-2</v>
      </c>
      <c r="D206" s="5">
        <v>-3</v>
      </c>
      <c r="E206" s="5" t="s">
        <v>41</v>
      </c>
      <c r="F206" s="5" t="s">
        <v>42</v>
      </c>
    </row>
    <row r="207" spans="1:6" x14ac:dyDescent="0.3">
      <c r="A207" s="7">
        <v>206</v>
      </c>
      <c r="B207" s="7" t="s">
        <v>254</v>
      </c>
      <c r="C207" s="7">
        <v>-2</v>
      </c>
      <c r="D207" s="7">
        <v>-2</v>
      </c>
      <c r="E207" s="7" t="s">
        <v>44</v>
      </c>
      <c r="F207" s="7" t="s">
        <v>42</v>
      </c>
    </row>
    <row r="208" spans="1:6" x14ac:dyDescent="0.3">
      <c r="A208" s="5">
        <v>207</v>
      </c>
      <c r="B208" s="5" t="s">
        <v>255</v>
      </c>
      <c r="C208" s="5">
        <v>-2</v>
      </c>
      <c r="D208" s="5">
        <v>-2</v>
      </c>
      <c r="E208" s="5" t="s">
        <v>44</v>
      </c>
      <c r="F208" s="5" t="s">
        <v>42</v>
      </c>
    </row>
    <row r="209" spans="1:6" x14ac:dyDescent="0.3">
      <c r="A209" s="7">
        <v>208</v>
      </c>
      <c r="B209" s="7" t="s">
        <v>256</v>
      </c>
      <c r="C209" s="7">
        <v>-2</v>
      </c>
      <c r="D209" s="7">
        <v>-2</v>
      </c>
      <c r="E209" s="7" t="s">
        <v>44</v>
      </c>
      <c r="F209" s="7" t="s">
        <v>42</v>
      </c>
    </row>
    <row r="210" spans="1:6" x14ac:dyDescent="0.3">
      <c r="A210" s="5">
        <v>209</v>
      </c>
      <c r="B210" s="5" t="s">
        <v>257</v>
      </c>
      <c r="C210" s="5">
        <v>1</v>
      </c>
      <c r="D210" s="5">
        <v>-2</v>
      </c>
      <c r="E210" s="5" t="s">
        <v>44</v>
      </c>
      <c r="F210" s="5" t="s">
        <v>42</v>
      </c>
    </row>
    <row r="211" spans="1:6" x14ac:dyDescent="0.3">
      <c r="A211" s="7">
        <v>210</v>
      </c>
      <c r="B211" s="7" t="s">
        <v>258</v>
      </c>
      <c r="C211" s="7">
        <v>3</v>
      </c>
      <c r="D211" s="7">
        <v>-2</v>
      </c>
      <c r="E211" s="7" t="s">
        <v>44</v>
      </c>
      <c r="F211" s="7" t="s">
        <v>42</v>
      </c>
    </row>
    <row r="212" spans="1:6" x14ac:dyDescent="0.3">
      <c r="A212" s="5">
        <v>211</v>
      </c>
      <c r="B212" s="5" t="s">
        <v>259</v>
      </c>
      <c r="C212" s="5">
        <v>-2</v>
      </c>
      <c r="D212" s="5">
        <v>-2</v>
      </c>
      <c r="E212" s="5" t="s">
        <v>44</v>
      </c>
      <c r="F212" s="5" t="s">
        <v>42</v>
      </c>
    </row>
    <row r="213" spans="1:6" x14ac:dyDescent="0.3">
      <c r="A213" s="7">
        <v>212</v>
      </c>
      <c r="B213" s="7" t="s">
        <v>260</v>
      </c>
      <c r="C213" s="7">
        <v>-2</v>
      </c>
      <c r="D213" s="7">
        <v>-3</v>
      </c>
      <c r="E213" s="7" t="s">
        <v>41</v>
      </c>
      <c r="F213" s="7" t="s">
        <v>42</v>
      </c>
    </row>
    <row r="214" spans="1:6" x14ac:dyDescent="0.3">
      <c r="A214" s="5">
        <v>213</v>
      </c>
      <c r="B214" s="5" t="s">
        <v>261</v>
      </c>
      <c r="C214" s="5">
        <v>1</v>
      </c>
      <c r="D214" s="5">
        <v>-1</v>
      </c>
      <c r="E214" s="5" t="s">
        <v>55</v>
      </c>
      <c r="F214" s="5" t="s">
        <v>42</v>
      </c>
    </row>
    <row r="215" spans="1:6" x14ac:dyDescent="0.3">
      <c r="A215" s="7">
        <v>214</v>
      </c>
      <c r="B215" s="7" t="s">
        <v>262</v>
      </c>
      <c r="C215" s="7">
        <v>-1</v>
      </c>
      <c r="D215" s="7">
        <v>-2</v>
      </c>
      <c r="E215" s="7" t="s">
        <v>44</v>
      </c>
      <c r="F215" s="7" t="s">
        <v>42</v>
      </c>
    </row>
    <row r="216" spans="1:6" x14ac:dyDescent="0.3">
      <c r="A216" s="5">
        <v>215</v>
      </c>
      <c r="B216" s="5" t="s">
        <v>263</v>
      </c>
      <c r="C216" s="5">
        <v>-1</v>
      </c>
      <c r="D216" s="5">
        <v>-2</v>
      </c>
      <c r="E216" s="5" t="s">
        <v>44</v>
      </c>
      <c r="F216" s="5" t="s">
        <v>42</v>
      </c>
    </row>
    <row r="217" spans="1:6" x14ac:dyDescent="0.3">
      <c r="A217" s="7">
        <v>216</v>
      </c>
      <c r="B217" s="7" t="s">
        <v>264</v>
      </c>
      <c r="C217" s="7">
        <v>1</v>
      </c>
      <c r="D217" s="7">
        <v>-1</v>
      </c>
      <c r="E217" s="7" t="s">
        <v>55</v>
      </c>
      <c r="F217" s="7" t="s">
        <v>42</v>
      </c>
    </row>
    <row r="218" spans="1:6" x14ac:dyDescent="0.3">
      <c r="A218" s="5">
        <v>217</v>
      </c>
      <c r="B218" s="5" t="s">
        <v>265</v>
      </c>
      <c r="C218" s="5">
        <v>-1</v>
      </c>
      <c r="D218" s="5">
        <v>-1</v>
      </c>
      <c r="E218" s="5" t="s">
        <v>55</v>
      </c>
      <c r="F218" s="5" t="s">
        <v>42</v>
      </c>
    </row>
    <row r="219" spans="1:6" x14ac:dyDescent="0.3">
      <c r="A219" s="7">
        <v>218</v>
      </c>
      <c r="B219" s="7" t="s">
        <v>266</v>
      </c>
      <c r="C219" s="7">
        <v>1</v>
      </c>
      <c r="D219" s="7">
        <v>-2</v>
      </c>
      <c r="E219" s="7" t="s">
        <v>44</v>
      </c>
      <c r="F219" s="7" t="s">
        <v>42</v>
      </c>
    </row>
    <row r="220" spans="1:6" x14ac:dyDescent="0.3">
      <c r="A220" s="5">
        <v>219</v>
      </c>
      <c r="B220" s="5" t="s">
        <v>267</v>
      </c>
      <c r="C220" s="5">
        <v>-3</v>
      </c>
      <c r="D220" s="5">
        <v>-3</v>
      </c>
      <c r="E220" s="5" t="s">
        <v>41</v>
      </c>
      <c r="F220" s="5" t="s">
        <v>42</v>
      </c>
    </row>
    <row r="221" spans="1:6" x14ac:dyDescent="0.3">
      <c r="A221" s="7">
        <v>220</v>
      </c>
      <c r="B221" s="7" t="s">
        <v>268</v>
      </c>
      <c r="C221" s="7">
        <v>-2</v>
      </c>
      <c r="D221" s="7">
        <v>-3</v>
      </c>
      <c r="E221" s="7" t="s">
        <v>41</v>
      </c>
      <c r="F221" s="7" t="s">
        <v>42</v>
      </c>
    </row>
    <row r="222" spans="1:6" x14ac:dyDescent="0.3">
      <c r="A222" s="5">
        <v>221</v>
      </c>
      <c r="B222" s="5" t="s">
        <v>269</v>
      </c>
      <c r="C222" s="5">
        <v>-2</v>
      </c>
      <c r="D222" s="5">
        <v>-3</v>
      </c>
      <c r="E222" s="5" t="s">
        <v>41</v>
      </c>
      <c r="F222" s="5" t="s">
        <v>42</v>
      </c>
    </row>
    <row r="223" spans="1:6" x14ac:dyDescent="0.3">
      <c r="A223" s="7">
        <v>222</v>
      </c>
      <c r="B223" s="7" t="s">
        <v>270</v>
      </c>
      <c r="C223" s="7">
        <v>-1</v>
      </c>
      <c r="D223" s="7">
        <v>-2</v>
      </c>
      <c r="E223" s="7" t="s">
        <v>44</v>
      </c>
      <c r="F223" s="7" t="s">
        <v>42</v>
      </c>
    </row>
    <row r="224" spans="1:6" x14ac:dyDescent="0.3">
      <c r="A224" s="5">
        <v>223</v>
      </c>
      <c r="B224" s="5" t="s">
        <v>271</v>
      </c>
      <c r="C224" s="5">
        <v>-2</v>
      </c>
      <c r="D224" s="5">
        <v>-2</v>
      </c>
      <c r="E224" s="5" t="s">
        <v>44</v>
      </c>
      <c r="F224" s="5" t="s">
        <v>42</v>
      </c>
    </row>
    <row r="225" spans="1:6" x14ac:dyDescent="0.3">
      <c r="A225" s="7">
        <v>224</v>
      </c>
      <c r="B225" s="7" t="s">
        <v>272</v>
      </c>
      <c r="C225" s="7">
        <v>2</v>
      </c>
      <c r="D225" s="7">
        <v>-2</v>
      </c>
      <c r="E225" s="7" t="s">
        <v>44</v>
      </c>
      <c r="F225" s="7" t="s">
        <v>42</v>
      </c>
    </row>
    <row r="226" spans="1:6" x14ac:dyDescent="0.3">
      <c r="A226" s="5">
        <v>225</v>
      </c>
      <c r="B226" s="5" t="s">
        <v>273</v>
      </c>
      <c r="C226" s="5">
        <v>-1</v>
      </c>
      <c r="D226" s="5">
        <v>-2</v>
      </c>
      <c r="E226" s="5" t="s">
        <v>44</v>
      </c>
      <c r="F226" s="5" t="s">
        <v>42</v>
      </c>
    </row>
    <row r="227" spans="1:6" x14ac:dyDescent="0.3">
      <c r="A227" s="7">
        <v>226</v>
      </c>
      <c r="B227" s="7" t="s">
        <v>274</v>
      </c>
      <c r="C227" s="7">
        <v>-2</v>
      </c>
      <c r="D227" s="7">
        <v>-2</v>
      </c>
      <c r="E227" s="7" t="s">
        <v>44</v>
      </c>
      <c r="F227" s="7" t="s">
        <v>42</v>
      </c>
    </row>
    <row r="228" spans="1:6" x14ac:dyDescent="0.3">
      <c r="A228" s="5">
        <v>227</v>
      </c>
      <c r="B228" s="5" t="s">
        <v>275</v>
      </c>
      <c r="C228" s="5">
        <v>1</v>
      </c>
      <c r="D228" s="5">
        <v>0</v>
      </c>
      <c r="E228" s="5" t="s">
        <v>276</v>
      </c>
      <c r="F228" s="5" t="s">
        <v>42</v>
      </c>
    </row>
    <row r="229" spans="1:6" x14ac:dyDescent="0.3">
      <c r="A229" s="7">
        <v>228</v>
      </c>
      <c r="B229" s="7" t="s">
        <v>277</v>
      </c>
      <c r="C229" s="7">
        <v>-1</v>
      </c>
      <c r="D229" s="7">
        <v>-1</v>
      </c>
      <c r="E229" s="7" t="s">
        <v>55</v>
      </c>
      <c r="F229" s="7" t="s">
        <v>42</v>
      </c>
    </row>
    <row r="230" spans="1:6" x14ac:dyDescent="0.3">
      <c r="A230" s="5">
        <v>229</v>
      </c>
      <c r="B230" s="5" t="s">
        <v>278</v>
      </c>
      <c r="C230" s="5" t="s">
        <v>119</v>
      </c>
      <c r="D230" s="5" t="s">
        <v>120</v>
      </c>
      <c r="E230" s="5" t="s">
        <v>120</v>
      </c>
      <c r="F230" s="5" t="s">
        <v>121</v>
      </c>
    </row>
    <row r="231" spans="1:6" x14ac:dyDescent="0.3">
      <c r="A231" s="7">
        <v>230</v>
      </c>
      <c r="B231" s="7" t="s">
        <v>279</v>
      </c>
      <c r="C231" s="7">
        <v>3</v>
      </c>
      <c r="D231" s="7">
        <v>-2</v>
      </c>
      <c r="E231" s="7" t="s">
        <v>44</v>
      </c>
      <c r="F231" s="7" t="s">
        <v>42</v>
      </c>
    </row>
    <row r="232" spans="1:6" x14ac:dyDescent="0.3">
      <c r="A232" s="5">
        <v>231</v>
      </c>
      <c r="B232" s="5" t="s">
        <v>280</v>
      </c>
      <c r="C232" s="5">
        <v>1</v>
      </c>
      <c r="D232" s="5">
        <v>-2</v>
      </c>
      <c r="E232" s="5" t="s">
        <v>44</v>
      </c>
      <c r="F232" s="5" t="s">
        <v>42</v>
      </c>
    </row>
    <row r="233" spans="1:6" x14ac:dyDescent="0.3">
      <c r="A233" s="7">
        <v>232</v>
      </c>
      <c r="B233" s="7" t="s">
        <v>281</v>
      </c>
      <c r="C233" s="7">
        <v>-1</v>
      </c>
      <c r="D233" s="7">
        <v>-2</v>
      </c>
      <c r="E233" s="7" t="s">
        <v>44</v>
      </c>
      <c r="F233" s="7" t="s">
        <v>42</v>
      </c>
    </row>
    <row r="234" spans="1:6" x14ac:dyDescent="0.3">
      <c r="A234" s="5">
        <v>233</v>
      </c>
      <c r="B234" s="5" t="s">
        <v>282</v>
      </c>
      <c r="C234" s="5">
        <v>-1</v>
      </c>
      <c r="D234" s="5">
        <v>-2</v>
      </c>
      <c r="E234" s="5" t="s">
        <v>44</v>
      </c>
      <c r="F234" s="5" t="s">
        <v>42</v>
      </c>
    </row>
    <row r="235" spans="1:6" x14ac:dyDescent="0.3">
      <c r="A235" s="7">
        <v>234</v>
      </c>
      <c r="B235" s="7" t="s">
        <v>283</v>
      </c>
      <c r="C235" s="7">
        <v>-2</v>
      </c>
      <c r="D235" s="7">
        <v>-3</v>
      </c>
      <c r="E235" s="7" t="s">
        <v>41</v>
      </c>
      <c r="F235" s="7" t="s">
        <v>42</v>
      </c>
    </row>
    <row r="236" spans="1:6" x14ac:dyDescent="0.3">
      <c r="A236" s="5">
        <v>235</v>
      </c>
      <c r="B236" s="5" t="s">
        <v>284</v>
      </c>
      <c r="C236" s="5">
        <v>-2</v>
      </c>
      <c r="D236" s="5">
        <v>-2</v>
      </c>
      <c r="E236" s="5" t="s">
        <v>44</v>
      </c>
      <c r="F236" s="5" t="s">
        <v>42</v>
      </c>
    </row>
    <row r="237" spans="1:6" x14ac:dyDescent="0.3">
      <c r="A237" s="7">
        <v>236</v>
      </c>
      <c r="B237" s="7" t="s">
        <v>285</v>
      </c>
      <c r="C237" s="7">
        <v>-2</v>
      </c>
      <c r="D237" s="7">
        <v>-2</v>
      </c>
      <c r="E237" s="7" t="s">
        <v>44</v>
      </c>
      <c r="F237" s="7" t="s">
        <v>42</v>
      </c>
    </row>
    <row r="238" spans="1:6" x14ac:dyDescent="0.3">
      <c r="A238" s="5">
        <v>237</v>
      </c>
      <c r="B238" s="5" t="s">
        <v>286</v>
      </c>
      <c r="C238" s="5">
        <v>-2</v>
      </c>
      <c r="D238" s="5">
        <v>-3</v>
      </c>
      <c r="E238" s="5" t="s">
        <v>41</v>
      </c>
      <c r="F238" s="5" t="s">
        <v>42</v>
      </c>
    </row>
    <row r="239" spans="1:6" x14ac:dyDescent="0.3">
      <c r="A239" s="7">
        <v>238</v>
      </c>
      <c r="B239" s="7" t="s">
        <v>287</v>
      </c>
      <c r="C239" s="7">
        <v>-2</v>
      </c>
      <c r="D239" s="7">
        <v>-3</v>
      </c>
      <c r="E239" s="7" t="s">
        <v>41</v>
      </c>
      <c r="F239" s="7" t="s">
        <v>42</v>
      </c>
    </row>
    <row r="240" spans="1:6" x14ac:dyDescent="0.3">
      <c r="A240" s="5">
        <v>239</v>
      </c>
      <c r="B240" s="5" t="s">
        <v>288</v>
      </c>
      <c r="C240" s="5">
        <v>1</v>
      </c>
      <c r="D240" s="5">
        <v>-3</v>
      </c>
      <c r="E240" s="5" t="s">
        <v>41</v>
      </c>
      <c r="F240" s="5" t="s">
        <v>42</v>
      </c>
    </row>
  </sheetData>
  <phoneticPr fontId="14" type="noConversion"/>
  <conditionalFormatting sqref="A2:F240">
    <cfRule type="expression" dxfId="0" priority="1">
      <formula>$F2="No valid classification"</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97"/>
  <sheetViews>
    <sheetView showGridLines="0" workbookViewId="0"/>
  </sheetViews>
  <sheetFormatPr defaultRowHeight="16.5" x14ac:dyDescent="0.3"/>
  <cols>
    <col min="1" max="1" width="15.625" customWidth="1"/>
    <col min="2" max="2" width="24.625" customWidth="1"/>
    <col min="3" max="3" width="15.625" customWidth="1"/>
    <col min="4" max="5" width="18.625" customWidth="1"/>
  </cols>
  <sheetData>
    <row r="1" spans="1:5" ht="32.1" customHeight="1" x14ac:dyDescent="0.3">
      <c r="A1" s="4" t="s">
        <v>34</v>
      </c>
      <c r="B1" s="4" t="s">
        <v>35</v>
      </c>
      <c r="C1" s="4" t="s">
        <v>289</v>
      </c>
      <c r="D1" s="4" t="s">
        <v>290</v>
      </c>
      <c r="E1" s="4" t="s">
        <v>291</v>
      </c>
    </row>
    <row r="2" spans="1:5" x14ac:dyDescent="0.3">
      <c r="A2" s="5">
        <v>1</v>
      </c>
      <c r="B2" s="5" t="s">
        <v>40</v>
      </c>
      <c r="C2" s="5">
        <v>-4</v>
      </c>
      <c r="D2" s="9">
        <v>1E-4</v>
      </c>
      <c r="E2" s="6">
        <v>0.59936723089999999</v>
      </c>
    </row>
    <row r="3" spans="1:5" x14ac:dyDescent="0.3">
      <c r="A3" s="7">
        <v>1</v>
      </c>
      <c r="B3" s="7" t="s">
        <v>40</v>
      </c>
      <c r="C3" s="7">
        <v>-3</v>
      </c>
      <c r="D3" s="10">
        <v>1E-3</v>
      </c>
      <c r="E3" s="8">
        <v>0.6461100568</v>
      </c>
    </row>
    <row r="4" spans="1:5" x14ac:dyDescent="0.3">
      <c r="A4" s="5">
        <v>1</v>
      </c>
      <c r="B4" s="5" t="s">
        <v>40</v>
      </c>
      <c r="C4" s="5">
        <v>-2</v>
      </c>
      <c r="D4" s="9">
        <v>0.01</v>
      </c>
      <c r="E4" s="6">
        <v>0.40981827430000001</v>
      </c>
    </row>
    <row r="5" spans="1:5" x14ac:dyDescent="0.3">
      <c r="A5" s="7">
        <v>1</v>
      </c>
      <c r="B5" s="7" t="s">
        <v>40</v>
      </c>
      <c r="C5" s="7">
        <v>-1</v>
      </c>
      <c r="D5" s="10">
        <v>0.1</v>
      </c>
      <c r="E5" s="8">
        <v>0.18779438540000001</v>
      </c>
    </row>
    <row r="6" spans="1:5" x14ac:dyDescent="0.3">
      <c r="A6" s="5">
        <v>1</v>
      </c>
      <c r="B6" s="5" t="s">
        <v>40</v>
      </c>
      <c r="C6" s="5">
        <v>0</v>
      </c>
      <c r="D6" s="9">
        <v>1</v>
      </c>
      <c r="E6" s="6">
        <v>0.18881473139999999</v>
      </c>
    </row>
    <row r="7" spans="1:5" x14ac:dyDescent="0.3">
      <c r="A7" s="7">
        <v>1</v>
      </c>
      <c r="B7" s="7" t="s">
        <v>40</v>
      </c>
      <c r="C7" s="7">
        <v>1</v>
      </c>
      <c r="D7" s="10">
        <v>10</v>
      </c>
      <c r="E7" s="8">
        <v>0.18087870710000001</v>
      </c>
    </row>
    <row r="8" spans="1:5" x14ac:dyDescent="0.3">
      <c r="A8" s="5">
        <v>1</v>
      </c>
      <c r="B8" s="5" t="s">
        <v>40</v>
      </c>
      <c r="C8" s="5">
        <v>2</v>
      </c>
      <c r="D8" s="9">
        <v>100</v>
      </c>
      <c r="E8" s="6">
        <v>0.18055742029999999</v>
      </c>
    </row>
    <row r="9" spans="1:5" x14ac:dyDescent="0.3">
      <c r="A9" s="7">
        <v>1</v>
      </c>
      <c r="B9" s="7" t="s">
        <v>40</v>
      </c>
      <c r="C9" s="7">
        <v>3</v>
      </c>
      <c r="D9" s="10">
        <v>1000</v>
      </c>
      <c r="E9" s="8">
        <v>0.18087870710000001</v>
      </c>
    </row>
    <row r="10" spans="1:5" x14ac:dyDescent="0.3">
      <c r="A10" s="5">
        <v>2</v>
      </c>
      <c r="B10" s="5" t="s">
        <v>43</v>
      </c>
      <c r="C10" s="5">
        <v>-4</v>
      </c>
      <c r="D10" s="9">
        <v>1E-4</v>
      </c>
      <c r="E10" s="6">
        <v>0.56736391249999996</v>
      </c>
    </row>
    <row r="11" spans="1:5" x14ac:dyDescent="0.3">
      <c r="A11" s="7">
        <v>2</v>
      </c>
      <c r="B11" s="7" t="s">
        <v>43</v>
      </c>
      <c r="C11" s="7">
        <v>-3</v>
      </c>
      <c r="D11" s="10">
        <v>1E-3</v>
      </c>
      <c r="E11" s="8">
        <v>0.6907109468</v>
      </c>
    </row>
    <row r="12" spans="1:5" x14ac:dyDescent="0.3">
      <c r="A12" s="5">
        <v>2</v>
      </c>
      <c r="B12" s="5" t="s">
        <v>43</v>
      </c>
      <c r="C12" s="5">
        <v>-2</v>
      </c>
      <c r="D12" s="9">
        <v>0.01</v>
      </c>
      <c r="E12" s="6">
        <v>0.81461467620000005</v>
      </c>
    </row>
    <row r="13" spans="1:5" x14ac:dyDescent="0.3">
      <c r="A13" s="7">
        <v>2</v>
      </c>
      <c r="B13" s="7" t="s">
        <v>43</v>
      </c>
      <c r="C13" s="7">
        <v>-1</v>
      </c>
      <c r="D13" s="10">
        <v>0.1</v>
      </c>
      <c r="E13" s="8">
        <v>0.69991384820000002</v>
      </c>
    </row>
    <row r="14" spans="1:5" x14ac:dyDescent="0.3">
      <c r="A14" s="5">
        <v>2</v>
      </c>
      <c r="B14" s="5" t="s">
        <v>43</v>
      </c>
      <c r="C14" s="5">
        <v>0</v>
      </c>
      <c r="D14" s="9">
        <v>1</v>
      </c>
      <c r="E14" s="6">
        <v>0.60121508570000004</v>
      </c>
    </row>
    <row r="15" spans="1:5" x14ac:dyDescent="0.3">
      <c r="A15" s="7">
        <v>2</v>
      </c>
      <c r="B15" s="7" t="s">
        <v>43</v>
      </c>
      <c r="C15" s="7">
        <v>1</v>
      </c>
      <c r="D15" s="10">
        <v>10</v>
      </c>
      <c r="E15" s="8">
        <v>0.58854603790000004</v>
      </c>
    </row>
    <row r="16" spans="1:5" x14ac:dyDescent="0.3">
      <c r="A16" s="5">
        <v>2</v>
      </c>
      <c r="B16" s="5" t="s">
        <v>43</v>
      </c>
      <c r="C16" s="5">
        <v>2</v>
      </c>
      <c r="D16" s="9">
        <v>100</v>
      </c>
      <c r="E16" s="6">
        <v>0.58835280590000005</v>
      </c>
    </row>
    <row r="17" spans="1:5" x14ac:dyDescent="0.3">
      <c r="A17" s="7">
        <v>2</v>
      </c>
      <c r="B17" s="7" t="s">
        <v>43</v>
      </c>
      <c r="C17" s="7">
        <v>3</v>
      </c>
      <c r="D17" s="10">
        <v>1000</v>
      </c>
      <c r="E17" s="8">
        <v>0.58835280590000005</v>
      </c>
    </row>
    <row r="18" spans="1:5" x14ac:dyDescent="0.3">
      <c r="A18" s="5">
        <v>3</v>
      </c>
      <c r="B18" s="5" t="s">
        <v>45</v>
      </c>
      <c r="C18" s="5">
        <v>-4</v>
      </c>
      <c r="D18" s="9">
        <v>1E-4</v>
      </c>
      <c r="E18" s="6">
        <v>0.64275385760000003</v>
      </c>
    </row>
    <row r="19" spans="1:5" x14ac:dyDescent="0.3">
      <c r="A19" s="7">
        <v>3</v>
      </c>
      <c r="B19" s="7" t="s">
        <v>45</v>
      </c>
      <c r="C19" s="7">
        <v>-3</v>
      </c>
      <c r="D19" s="10">
        <v>1E-3</v>
      </c>
      <c r="E19" s="8">
        <v>0.60974643689999997</v>
      </c>
    </row>
    <row r="20" spans="1:5" x14ac:dyDescent="0.3">
      <c r="A20" s="5">
        <v>3</v>
      </c>
      <c r="B20" s="5" t="s">
        <v>45</v>
      </c>
      <c r="C20" s="5">
        <v>-2</v>
      </c>
      <c r="D20" s="9">
        <v>0.01</v>
      </c>
      <c r="E20" s="6">
        <v>0.58816528000000001</v>
      </c>
    </row>
    <row r="21" spans="1:5" x14ac:dyDescent="0.3">
      <c r="A21" s="7">
        <v>3</v>
      </c>
      <c r="B21" s="7" t="s">
        <v>45</v>
      </c>
      <c r="C21" s="7">
        <v>-1</v>
      </c>
      <c r="D21" s="10">
        <v>0.1</v>
      </c>
      <c r="E21" s="8">
        <v>0.2438855254</v>
      </c>
    </row>
    <row r="22" spans="1:5" x14ac:dyDescent="0.3">
      <c r="A22" s="5">
        <v>3</v>
      </c>
      <c r="B22" s="5" t="s">
        <v>45</v>
      </c>
      <c r="C22" s="5">
        <v>0</v>
      </c>
      <c r="D22" s="9">
        <v>1</v>
      </c>
      <c r="E22" s="6">
        <v>0.16597216419999999</v>
      </c>
    </row>
    <row r="23" spans="1:5" x14ac:dyDescent="0.3">
      <c r="A23" s="7">
        <v>3</v>
      </c>
      <c r="B23" s="7" t="s">
        <v>45</v>
      </c>
      <c r="C23" s="7">
        <v>1</v>
      </c>
      <c r="D23" s="10">
        <v>10</v>
      </c>
      <c r="E23" s="8">
        <v>0.14752957550000001</v>
      </c>
    </row>
    <row r="24" spans="1:5" x14ac:dyDescent="0.3">
      <c r="A24" s="5">
        <v>3</v>
      </c>
      <c r="B24" s="5" t="s">
        <v>45</v>
      </c>
      <c r="C24" s="5">
        <v>2</v>
      </c>
      <c r="D24" s="9">
        <v>100</v>
      </c>
      <c r="E24" s="6">
        <v>0.14752957550000001</v>
      </c>
    </row>
    <row r="25" spans="1:5" x14ac:dyDescent="0.3">
      <c r="A25" s="7">
        <v>3</v>
      </c>
      <c r="B25" s="7" t="s">
        <v>45</v>
      </c>
      <c r="C25" s="7">
        <v>3</v>
      </c>
      <c r="D25" s="10">
        <v>1000</v>
      </c>
      <c r="E25" s="8">
        <v>0.14752957550000001</v>
      </c>
    </row>
    <row r="26" spans="1:5" x14ac:dyDescent="0.3">
      <c r="A26" s="5">
        <v>4</v>
      </c>
      <c r="B26" s="5" t="s">
        <v>47</v>
      </c>
      <c r="C26" s="5">
        <v>-4</v>
      </c>
      <c r="D26" s="9">
        <v>1E-4</v>
      </c>
      <c r="E26" s="6">
        <v>0.51518700260000005</v>
      </c>
    </row>
    <row r="27" spans="1:5" x14ac:dyDescent="0.3">
      <c r="A27" s="7">
        <v>4</v>
      </c>
      <c r="B27" s="7" t="s">
        <v>47</v>
      </c>
      <c r="C27" s="7">
        <v>-3</v>
      </c>
      <c r="D27" s="10">
        <v>1E-3</v>
      </c>
      <c r="E27" s="8">
        <v>0.59448183960000001</v>
      </c>
    </row>
    <row r="28" spans="1:5" x14ac:dyDescent="0.3">
      <c r="A28" s="5">
        <v>4</v>
      </c>
      <c r="B28" s="5" t="s">
        <v>47</v>
      </c>
      <c r="C28" s="5">
        <v>-2</v>
      </c>
      <c r="D28" s="9">
        <v>0.01</v>
      </c>
      <c r="E28" s="6">
        <v>0.826498395</v>
      </c>
    </row>
    <row r="29" spans="1:5" x14ac:dyDescent="0.3">
      <c r="A29" s="7">
        <v>4</v>
      </c>
      <c r="B29" s="7" t="s">
        <v>47</v>
      </c>
      <c r="C29" s="7">
        <v>-1</v>
      </c>
      <c r="D29" s="10">
        <v>0.1</v>
      </c>
      <c r="E29" s="8">
        <v>0.45964509440000001</v>
      </c>
    </row>
    <row r="30" spans="1:5" x14ac:dyDescent="0.3">
      <c r="A30" s="5">
        <v>4</v>
      </c>
      <c r="B30" s="5" t="s">
        <v>47</v>
      </c>
      <c r="C30" s="5">
        <v>0</v>
      </c>
      <c r="D30" s="9">
        <v>1</v>
      </c>
      <c r="E30" s="6">
        <v>0.26000217599999997</v>
      </c>
    </row>
    <row r="31" spans="1:5" x14ac:dyDescent="0.3">
      <c r="A31" s="7">
        <v>4</v>
      </c>
      <c r="B31" s="7" t="s">
        <v>47</v>
      </c>
      <c r="C31" s="7">
        <v>1</v>
      </c>
      <c r="D31" s="10">
        <v>10</v>
      </c>
      <c r="E31" s="8">
        <v>0.24222957270000001</v>
      </c>
    </row>
    <row r="32" spans="1:5" x14ac:dyDescent="0.3">
      <c r="A32" s="5">
        <v>4</v>
      </c>
      <c r="B32" s="5" t="s">
        <v>47</v>
      </c>
      <c r="C32" s="5">
        <v>2</v>
      </c>
      <c r="D32" s="9">
        <v>100</v>
      </c>
      <c r="E32" s="6">
        <v>0.24240963339999999</v>
      </c>
    </row>
    <row r="33" spans="1:5" x14ac:dyDescent="0.3">
      <c r="A33" s="7">
        <v>4</v>
      </c>
      <c r="B33" s="7" t="s">
        <v>47</v>
      </c>
      <c r="C33" s="7">
        <v>3</v>
      </c>
      <c r="D33" s="10">
        <v>1000</v>
      </c>
      <c r="E33" s="8">
        <v>0.24266186270000001</v>
      </c>
    </row>
    <row r="34" spans="1:5" x14ac:dyDescent="0.3">
      <c r="A34" s="5">
        <v>5</v>
      </c>
      <c r="B34" s="5" t="s">
        <v>48</v>
      </c>
      <c r="C34" s="5">
        <v>-4</v>
      </c>
      <c r="D34" s="9">
        <v>1E-4</v>
      </c>
      <c r="E34" s="6">
        <v>9.1252238799999996E-2</v>
      </c>
    </row>
    <row r="35" spans="1:5" x14ac:dyDescent="0.3">
      <c r="A35" s="7">
        <v>5</v>
      </c>
      <c r="B35" s="7" t="s">
        <v>48</v>
      </c>
      <c r="C35" s="7">
        <v>-3</v>
      </c>
      <c r="D35" s="10">
        <v>1E-3</v>
      </c>
      <c r="E35" s="8">
        <v>1.5959701499999999E-2</v>
      </c>
    </row>
    <row r="36" spans="1:5" x14ac:dyDescent="0.3">
      <c r="A36" s="5">
        <v>5</v>
      </c>
      <c r="B36" s="5" t="s">
        <v>48</v>
      </c>
      <c r="C36" s="5">
        <v>-2</v>
      </c>
      <c r="D36" s="9">
        <v>0.01</v>
      </c>
      <c r="E36" s="6">
        <v>-4.08462687E-2</v>
      </c>
    </row>
    <row r="37" spans="1:5" x14ac:dyDescent="0.3">
      <c r="A37" s="7">
        <v>5</v>
      </c>
      <c r="B37" s="7" t="s">
        <v>48</v>
      </c>
      <c r="C37" s="7">
        <v>-1</v>
      </c>
      <c r="D37" s="10">
        <v>0.1</v>
      </c>
      <c r="E37" s="8">
        <v>-0.49399701489999998</v>
      </c>
    </row>
    <row r="38" spans="1:5" x14ac:dyDescent="0.3">
      <c r="A38" s="5">
        <v>5</v>
      </c>
      <c r="B38" s="5" t="s">
        <v>48</v>
      </c>
      <c r="C38" s="5">
        <v>0</v>
      </c>
      <c r="D38" s="9">
        <v>1</v>
      </c>
      <c r="E38" s="6">
        <v>-0.72324029850000005</v>
      </c>
    </row>
    <row r="39" spans="1:5" x14ac:dyDescent="0.3">
      <c r="A39" s="7">
        <v>5</v>
      </c>
      <c r="B39" s="7" t="s">
        <v>48</v>
      </c>
      <c r="C39" s="7">
        <v>1</v>
      </c>
      <c r="D39" s="10">
        <v>10</v>
      </c>
      <c r="E39" s="8">
        <v>-0.80597014929999999</v>
      </c>
    </row>
    <row r="40" spans="1:5" x14ac:dyDescent="0.3">
      <c r="A40" s="5">
        <v>5</v>
      </c>
      <c r="B40" s="5" t="s">
        <v>48</v>
      </c>
      <c r="C40" s="5">
        <v>2</v>
      </c>
      <c r="D40" s="9">
        <v>100</v>
      </c>
      <c r="E40" s="6">
        <v>-0.80597014929999999</v>
      </c>
    </row>
    <row r="41" spans="1:5" x14ac:dyDescent="0.3">
      <c r="A41" s="7">
        <v>5</v>
      </c>
      <c r="B41" s="7" t="s">
        <v>48</v>
      </c>
      <c r="C41" s="7">
        <v>3</v>
      </c>
      <c r="D41" s="10">
        <v>1000</v>
      </c>
      <c r="E41" s="8">
        <v>-0.80597014929999999</v>
      </c>
    </row>
    <row r="42" spans="1:5" x14ac:dyDescent="0.3">
      <c r="A42" s="5">
        <v>6</v>
      </c>
      <c r="B42" s="5" t="s">
        <v>49</v>
      </c>
      <c r="C42" s="5">
        <v>-4</v>
      </c>
      <c r="D42" s="9">
        <v>1E-4</v>
      </c>
      <c r="E42" s="6">
        <v>0.1075849244</v>
      </c>
    </row>
    <row r="43" spans="1:5" x14ac:dyDescent="0.3">
      <c r="A43" s="7">
        <v>6</v>
      </c>
      <c r="B43" s="7" t="s">
        <v>49</v>
      </c>
      <c r="C43" s="7">
        <v>-3</v>
      </c>
      <c r="D43" s="10">
        <v>1E-3</v>
      </c>
      <c r="E43" s="8">
        <v>0.63726241800000005</v>
      </c>
    </row>
    <row r="44" spans="1:5" x14ac:dyDescent="0.3">
      <c r="A44" s="5">
        <v>6</v>
      </c>
      <c r="B44" s="5" t="s">
        <v>49</v>
      </c>
      <c r="C44" s="5">
        <v>-2</v>
      </c>
      <c r="D44" s="9">
        <v>0.01</v>
      </c>
      <c r="E44" s="6">
        <v>0.90603456869999999</v>
      </c>
    </row>
    <row r="45" spans="1:5" x14ac:dyDescent="0.3">
      <c r="A45" s="7">
        <v>6</v>
      </c>
      <c r="B45" s="7" t="s">
        <v>49</v>
      </c>
      <c r="C45" s="7">
        <v>-1</v>
      </c>
      <c r="D45" s="10">
        <v>0.1</v>
      </c>
      <c r="E45" s="8">
        <v>0.74066341619999998</v>
      </c>
    </row>
    <row r="46" spans="1:5" x14ac:dyDescent="0.3">
      <c r="A46" s="5">
        <v>6</v>
      </c>
      <c r="B46" s="5" t="s">
        <v>49</v>
      </c>
      <c r="C46" s="5">
        <v>0</v>
      </c>
      <c r="D46" s="9">
        <v>1</v>
      </c>
      <c r="E46" s="6">
        <v>0.68290103930000001</v>
      </c>
    </row>
    <row r="47" spans="1:5" x14ac:dyDescent="0.3">
      <c r="A47" s="7">
        <v>6</v>
      </c>
      <c r="B47" s="7" t="s">
        <v>49</v>
      </c>
      <c r="C47" s="7">
        <v>1</v>
      </c>
      <c r="D47" s="10">
        <v>10</v>
      </c>
      <c r="E47" s="8">
        <v>0.67492466929999995</v>
      </c>
    </row>
    <row r="48" spans="1:5" x14ac:dyDescent="0.3">
      <c r="A48" s="5">
        <v>6</v>
      </c>
      <c r="B48" s="5" t="s">
        <v>49</v>
      </c>
      <c r="C48" s="5">
        <v>2</v>
      </c>
      <c r="D48" s="9">
        <v>100</v>
      </c>
      <c r="E48" s="6">
        <v>0.6752803691</v>
      </c>
    </row>
    <row r="49" spans="1:5" x14ac:dyDescent="0.3">
      <c r="A49" s="7">
        <v>6</v>
      </c>
      <c r="B49" s="7" t="s">
        <v>49</v>
      </c>
      <c r="C49" s="7">
        <v>3</v>
      </c>
      <c r="D49" s="10">
        <v>1000</v>
      </c>
      <c r="E49" s="8">
        <v>0.67565465039999995</v>
      </c>
    </row>
    <row r="50" spans="1:5" x14ac:dyDescent="0.3">
      <c r="A50" s="5">
        <v>7</v>
      </c>
      <c r="B50" s="5" t="s">
        <v>50</v>
      </c>
      <c r="C50" s="5">
        <v>-4</v>
      </c>
      <c r="D50" s="9">
        <v>1E-4</v>
      </c>
      <c r="E50" s="6">
        <v>0.484042217</v>
      </c>
    </row>
    <row r="51" spans="1:5" x14ac:dyDescent="0.3">
      <c r="A51" s="7">
        <v>7</v>
      </c>
      <c r="B51" s="7" t="s">
        <v>50</v>
      </c>
      <c r="C51" s="7">
        <v>-3</v>
      </c>
      <c r="D51" s="10">
        <v>1E-3</v>
      </c>
      <c r="E51" s="8">
        <v>0.61531127409999997</v>
      </c>
    </row>
    <row r="52" spans="1:5" x14ac:dyDescent="0.3">
      <c r="A52" s="5">
        <v>7</v>
      </c>
      <c r="B52" s="5" t="s">
        <v>50</v>
      </c>
      <c r="C52" s="5">
        <v>-2</v>
      </c>
      <c r="D52" s="9">
        <v>0.01</v>
      </c>
      <c r="E52" s="6">
        <v>0.92959611190000002</v>
      </c>
    </row>
    <row r="53" spans="1:5" x14ac:dyDescent="0.3">
      <c r="A53" s="7">
        <v>7</v>
      </c>
      <c r="B53" s="7" t="s">
        <v>50</v>
      </c>
      <c r="C53" s="7">
        <v>-1</v>
      </c>
      <c r="D53" s="10">
        <v>0.1</v>
      </c>
      <c r="E53" s="8">
        <v>0.67274901480000004</v>
      </c>
    </row>
    <row r="54" spans="1:5" x14ac:dyDescent="0.3">
      <c r="A54" s="5">
        <v>7</v>
      </c>
      <c r="B54" s="5" t="s">
        <v>50</v>
      </c>
      <c r="C54" s="5">
        <v>0</v>
      </c>
      <c r="D54" s="9">
        <v>1</v>
      </c>
      <c r="E54" s="6">
        <v>0.42360525640000002</v>
      </c>
    </row>
    <row r="55" spans="1:5" x14ac:dyDescent="0.3">
      <c r="A55" s="7">
        <v>7</v>
      </c>
      <c r="B55" s="7" t="s">
        <v>50</v>
      </c>
      <c r="C55" s="7">
        <v>1</v>
      </c>
      <c r="D55" s="10">
        <v>10</v>
      </c>
      <c r="E55" s="8">
        <v>0.3933437749</v>
      </c>
    </row>
    <row r="56" spans="1:5" x14ac:dyDescent="0.3">
      <c r="A56" s="5">
        <v>7</v>
      </c>
      <c r="B56" s="5" t="s">
        <v>50</v>
      </c>
      <c r="C56" s="5">
        <v>2</v>
      </c>
      <c r="D56" s="9">
        <v>100</v>
      </c>
      <c r="E56" s="6">
        <v>0.39351758819999999</v>
      </c>
    </row>
    <row r="57" spans="1:5" x14ac:dyDescent="0.3">
      <c r="A57" s="7">
        <v>7</v>
      </c>
      <c r="B57" s="7" t="s">
        <v>50</v>
      </c>
      <c r="C57" s="7">
        <v>3</v>
      </c>
      <c r="D57" s="10">
        <v>1000</v>
      </c>
      <c r="E57" s="8">
        <v>0.3940728496</v>
      </c>
    </row>
    <row r="58" spans="1:5" x14ac:dyDescent="0.3">
      <c r="A58" s="5">
        <v>8</v>
      </c>
      <c r="B58" s="5" t="s">
        <v>51</v>
      </c>
      <c r="C58" s="5">
        <v>-4</v>
      </c>
      <c r="D58" s="9">
        <v>1E-4</v>
      </c>
      <c r="E58" s="6">
        <v>0.70122427440000001</v>
      </c>
    </row>
    <row r="59" spans="1:5" x14ac:dyDescent="0.3">
      <c r="A59" s="7">
        <v>8</v>
      </c>
      <c r="B59" s="7" t="s">
        <v>51</v>
      </c>
      <c r="C59" s="7">
        <v>-3</v>
      </c>
      <c r="D59" s="10">
        <v>1E-3</v>
      </c>
      <c r="E59" s="8">
        <v>0.66028496039999995</v>
      </c>
    </row>
    <row r="60" spans="1:5" x14ac:dyDescent="0.3">
      <c r="A60" s="5">
        <v>8</v>
      </c>
      <c r="B60" s="5" t="s">
        <v>51</v>
      </c>
      <c r="C60" s="5">
        <v>-2</v>
      </c>
      <c r="D60" s="9">
        <v>0.01</v>
      </c>
      <c r="E60" s="6">
        <v>0.67042424239999998</v>
      </c>
    </row>
    <row r="61" spans="1:5" x14ac:dyDescent="0.3">
      <c r="A61" s="7">
        <v>8</v>
      </c>
      <c r="B61" s="7" t="s">
        <v>51</v>
      </c>
      <c r="C61" s="7">
        <v>-1</v>
      </c>
      <c r="D61" s="10">
        <v>0.1</v>
      </c>
      <c r="E61" s="8">
        <v>0.75013333329999998</v>
      </c>
    </row>
    <row r="62" spans="1:5" x14ac:dyDescent="0.3">
      <c r="A62" s="5">
        <v>8</v>
      </c>
      <c r="B62" s="5" t="s">
        <v>51</v>
      </c>
      <c r="C62" s="5">
        <v>0</v>
      </c>
      <c r="D62" s="9">
        <v>1</v>
      </c>
      <c r="E62" s="6">
        <v>0.80493395349999997</v>
      </c>
    </row>
    <row r="63" spans="1:5" x14ac:dyDescent="0.3">
      <c r="A63" s="7">
        <v>8</v>
      </c>
      <c r="B63" s="7" t="s">
        <v>51</v>
      </c>
      <c r="C63" s="7">
        <v>1</v>
      </c>
      <c r="D63" s="10">
        <v>10</v>
      </c>
      <c r="E63" s="8">
        <v>0.8511627907</v>
      </c>
    </row>
    <row r="64" spans="1:5" x14ac:dyDescent="0.3">
      <c r="A64" s="5">
        <v>8</v>
      </c>
      <c r="B64" s="5" t="s">
        <v>51</v>
      </c>
      <c r="C64" s="5">
        <v>2</v>
      </c>
      <c r="D64" s="9">
        <v>100</v>
      </c>
      <c r="E64" s="6">
        <v>0.8511627907</v>
      </c>
    </row>
    <row r="65" spans="1:5" x14ac:dyDescent="0.3">
      <c r="A65" s="7">
        <v>8</v>
      </c>
      <c r="B65" s="7" t="s">
        <v>51</v>
      </c>
      <c r="C65" s="7">
        <v>3</v>
      </c>
      <c r="D65" s="10">
        <v>1000</v>
      </c>
      <c r="E65" s="8">
        <v>0.8511627907</v>
      </c>
    </row>
    <row r="66" spans="1:5" x14ac:dyDescent="0.3">
      <c r="A66" s="5">
        <v>9</v>
      </c>
      <c r="B66" s="5" t="s">
        <v>53</v>
      </c>
      <c r="C66" s="5">
        <v>-4</v>
      </c>
      <c r="D66" s="9">
        <v>1E-4</v>
      </c>
      <c r="E66" s="6">
        <v>0.55479278320000003</v>
      </c>
    </row>
    <row r="67" spans="1:5" x14ac:dyDescent="0.3">
      <c r="A67" s="7">
        <v>9</v>
      </c>
      <c r="B67" s="7" t="s">
        <v>53</v>
      </c>
      <c r="C67" s="7">
        <v>-3</v>
      </c>
      <c r="D67" s="10">
        <v>1E-3</v>
      </c>
      <c r="E67" s="8">
        <v>0.76608373269999996</v>
      </c>
    </row>
    <row r="68" spans="1:5" x14ac:dyDescent="0.3">
      <c r="A68" s="5">
        <v>9</v>
      </c>
      <c r="B68" s="5" t="s">
        <v>53</v>
      </c>
      <c r="C68" s="5">
        <v>-2</v>
      </c>
      <c r="D68" s="9">
        <v>0.01</v>
      </c>
      <c r="E68" s="6">
        <v>0.2668391182</v>
      </c>
    </row>
    <row r="69" spans="1:5" x14ac:dyDescent="0.3">
      <c r="A69" s="7">
        <v>9</v>
      </c>
      <c r="B69" s="7" t="s">
        <v>53</v>
      </c>
      <c r="C69" s="7">
        <v>-1</v>
      </c>
      <c r="D69" s="10">
        <v>0.1</v>
      </c>
      <c r="E69" s="8">
        <v>-0.45842586400000002</v>
      </c>
    </row>
    <row r="70" spans="1:5" x14ac:dyDescent="0.3">
      <c r="A70" s="5">
        <v>9</v>
      </c>
      <c r="B70" s="5" t="s">
        <v>53</v>
      </c>
      <c r="C70" s="5">
        <v>0</v>
      </c>
      <c r="D70" s="9">
        <v>1</v>
      </c>
      <c r="E70" s="6">
        <v>-0.77857805920000001</v>
      </c>
    </row>
    <row r="71" spans="1:5" x14ac:dyDescent="0.3">
      <c r="A71" s="7">
        <v>9</v>
      </c>
      <c r="B71" s="7" t="s">
        <v>53</v>
      </c>
      <c r="C71" s="7">
        <v>1</v>
      </c>
      <c r="D71" s="10">
        <v>10</v>
      </c>
      <c r="E71" s="8">
        <v>-0.79566818370000003</v>
      </c>
    </row>
    <row r="72" spans="1:5" x14ac:dyDescent="0.3">
      <c r="A72" s="5">
        <v>9</v>
      </c>
      <c r="B72" s="5" t="s">
        <v>53</v>
      </c>
      <c r="C72" s="5">
        <v>2</v>
      </c>
      <c r="D72" s="9">
        <v>100</v>
      </c>
      <c r="E72" s="6">
        <v>-0.81509858489999998</v>
      </c>
    </row>
    <row r="73" spans="1:5" x14ac:dyDescent="0.3">
      <c r="A73" s="7">
        <v>9</v>
      </c>
      <c r="B73" s="7" t="s">
        <v>53</v>
      </c>
      <c r="C73" s="7">
        <v>3</v>
      </c>
      <c r="D73" s="10">
        <v>1000</v>
      </c>
      <c r="E73" s="8">
        <v>-0.80441250649999996</v>
      </c>
    </row>
    <row r="74" spans="1:5" x14ac:dyDescent="0.3">
      <c r="A74" s="5">
        <v>10</v>
      </c>
      <c r="B74" s="5" t="s">
        <v>54</v>
      </c>
      <c r="C74" s="5">
        <v>-4</v>
      </c>
      <c r="D74" s="9">
        <v>1E-4</v>
      </c>
      <c r="E74" s="6">
        <v>0.38792874030000002</v>
      </c>
    </row>
    <row r="75" spans="1:5" x14ac:dyDescent="0.3">
      <c r="A75" s="7">
        <v>10</v>
      </c>
      <c r="B75" s="7" t="s">
        <v>54</v>
      </c>
      <c r="C75" s="7">
        <v>-3</v>
      </c>
      <c r="D75" s="10">
        <v>1E-3</v>
      </c>
      <c r="E75" s="8">
        <v>0.50711395459999997</v>
      </c>
    </row>
    <row r="76" spans="1:5" x14ac:dyDescent="0.3">
      <c r="A76" s="5">
        <v>10</v>
      </c>
      <c r="B76" s="5" t="s">
        <v>54</v>
      </c>
      <c r="C76" s="5">
        <v>-2</v>
      </c>
      <c r="D76" s="9">
        <v>0.01</v>
      </c>
      <c r="E76" s="6">
        <v>0.83274717220000005</v>
      </c>
    </row>
    <row r="77" spans="1:5" x14ac:dyDescent="0.3">
      <c r="A77" s="7">
        <v>10</v>
      </c>
      <c r="B77" s="7" t="s">
        <v>54</v>
      </c>
      <c r="C77" s="7">
        <v>-1</v>
      </c>
      <c r="D77" s="10">
        <v>0.1</v>
      </c>
      <c r="E77" s="8">
        <v>0.89491001120000002</v>
      </c>
    </row>
    <row r="78" spans="1:5" x14ac:dyDescent="0.3">
      <c r="A78" s="5">
        <v>10</v>
      </c>
      <c r="B78" s="5" t="s">
        <v>54</v>
      </c>
      <c r="C78" s="5">
        <v>0</v>
      </c>
      <c r="D78" s="9">
        <v>1</v>
      </c>
      <c r="E78" s="6">
        <v>0.814179816</v>
      </c>
    </row>
    <row r="79" spans="1:5" x14ac:dyDescent="0.3">
      <c r="A79" s="7">
        <v>10</v>
      </c>
      <c r="B79" s="7" t="s">
        <v>54</v>
      </c>
      <c r="C79" s="7">
        <v>1</v>
      </c>
      <c r="D79" s="10">
        <v>10</v>
      </c>
      <c r="E79" s="8">
        <v>0.80092165640000001</v>
      </c>
    </row>
    <row r="80" spans="1:5" x14ac:dyDescent="0.3">
      <c r="A80" s="5">
        <v>10</v>
      </c>
      <c r="B80" s="5" t="s">
        <v>54</v>
      </c>
      <c r="C80" s="5">
        <v>2</v>
      </c>
      <c r="D80" s="9">
        <v>100</v>
      </c>
      <c r="E80" s="6">
        <v>0.80134349689999995</v>
      </c>
    </row>
    <row r="81" spans="1:5" x14ac:dyDescent="0.3">
      <c r="A81" s="7">
        <v>10</v>
      </c>
      <c r="B81" s="7" t="s">
        <v>54</v>
      </c>
      <c r="C81" s="7">
        <v>3</v>
      </c>
      <c r="D81" s="10">
        <v>1000</v>
      </c>
      <c r="E81" s="8">
        <v>0.80349411039999996</v>
      </c>
    </row>
    <row r="82" spans="1:5" x14ac:dyDescent="0.3">
      <c r="A82" s="5">
        <v>11</v>
      </c>
      <c r="B82" s="5" t="s">
        <v>56</v>
      </c>
      <c r="C82" s="5">
        <v>-4</v>
      </c>
      <c r="D82" s="9">
        <v>1E-4</v>
      </c>
      <c r="E82" s="6">
        <v>0.47859318270000001</v>
      </c>
    </row>
    <row r="83" spans="1:5" x14ac:dyDescent="0.3">
      <c r="A83" s="7">
        <v>11</v>
      </c>
      <c r="B83" s="7" t="s">
        <v>56</v>
      </c>
      <c r="C83" s="7">
        <v>-3</v>
      </c>
      <c r="D83" s="10">
        <v>1E-3</v>
      </c>
      <c r="E83" s="8">
        <v>0.60975946550000004</v>
      </c>
    </row>
    <row r="84" spans="1:5" x14ac:dyDescent="0.3">
      <c r="A84" s="5">
        <v>11</v>
      </c>
      <c r="B84" s="5" t="s">
        <v>56</v>
      </c>
      <c r="C84" s="5">
        <v>-2</v>
      </c>
      <c r="D84" s="9">
        <v>0.01</v>
      </c>
      <c r="E84" s="6">
        <v>0.81073465519999999</v>
      </c>
    </row>
    <row r="85" spans="1:5" x14ac:dyDescent="0.3">
      <c r="A85" s="7">
        <v>11</v>
      </c>
      <c r="B85" s="7" t="s">
        <v>56</v>
      </c>
      <c r="C85" s="7">
        <v>-1</v>
      </c>
      <c r="D85" s="10">
        <v>0.1</v>
      </c>
      <c r="E85" s="8">
        <v>0.85402719540000005</v>
      </c>
    </row>
    <row r="86" spans="1:5" x14ac:dyDescent="0.3">
      <c r="A86" s="5">
        <v>11</v>
      </c>
      <c r="B86" s="5" t="s">
        <v>56</v>
      </c>
      <c r="C86" s="5">
        <v>0</v>
      </c>
      <c r="D86" s="9">
        <v>1</v>
      </c>
      <c r="E86" s="6">
        <v>0.83949441150000004</v>
      </c>
    </row>
    <row r="87" spans="1:5" x14ac:dyDescent="0.3">
      <c r="A87" s="7">
        <v>11</v>
      </c>
      <c r="B87" s="7" t="s">
        <v>56</v>
      </c>
      <c r="C87" s="7">
        <v>1</v>
      </c>
      <c r="D87" s="10">
        <v>10</v>
      </c>
      <c r="E87" s="8">
        <v>0.83121772989999998</v>
      </c>
    </row>
    <row r="88" spans="1:5" x14ac:dyDescent="0.3">
      <c r="A88" s="5">
        <v>11</v>
      </c>
      <c r="B88" s="5" t="s">
        <v>56</v>
      </c>
      <c r="C88" s="5">
        <v>2</v>
      </c>
      <c r="D88" s="9">
        <v>100</v>
      </c>
      <c r="E88" s="6">
        <v>0.83107567059999998</v>
      </c>
    </row>
    <row r="89" spans="1:5" x14ac:dyDescent="0.3">
      <c r="A89" s="7">
        <v>11</v>
      </c>
      <c r="B89" s="7" t="s">
        <v>56</v>
      </c>
      <c r="C89" s="7">
        <v>3</v>
      </c>
      <c r="D89" s="10">
        <v>1000</v>
      </c>
      <c r="E89" s="8">
        <v>0.83121772989999998</v>
      </c>
    </row>
    <row r="90" spans="1:5" x14ac:dyDescent="0.3">
      <c r="A90" s="5">
        <v>12</v>
      </c>
      <c r="B90" s="5" t="s">
        <v>57</v>
      </c>
      <c r="C90" s="5">
        <v>-4</v>
      </c>
      <c r="D90" s="9">
        <v>1E-4</v>
      </c>
      <c r="E90" s="6">
        <v>0.37720321280000002</v>
      </c>
    </row>
    <row r="91" spans="1:5" x14ac:dyDescent="0.3">
      <c r="A91" s="7">
        <v>12</v>
      </c>
      <c r="B91" s="7" t="s">
        <v>57</v>
      </c>
      <c r="C91" s="7">
        <v>-3</v>
      </c>
      <c r="D91" s="10">
        <v>1E-3</v>
      </c>
      <c r="E91" s="8">
        <v>0.55936077049999999</v>
      </c>
    </row>
    <row r="92" spans="1:5" x14ac:dyDescent="0.3">
      <c r="A92" s="5">
        <v>12</v>
      </c>
      <c r="B92" s="5" t="s">
        <v>57</v>
      </c>
      <c r="C92" s="5">
        <v>-2</v>
      </c>
      <c r="D92" s="9">
        <v>0.01</v>
      </c>
      <c r="E92" s="6">
        <v>0.83421075659999999</v>
      </c>
    </row>
    <row r="93" spans="1:5" x14ac:dyDescent="0.3">
      <c r="A93" s="7">
        <v>12</v>
      </c>
      <c r="B93" s="7" t="s">
        <v>57</v>
      </c>
      <c r="C93" s="7">
        <v>-1</v>
      </c>
      <c r="D93" s="10">
        <v>0.1</v>
      </c>
      <c r="E93" s="8">
        <v>0.20879336449999999</v>
      </c>
    </row>
    <row r="94" spans="1:5" x14ac:dyDescent="0.3">
      <c r="A94" s="5">
        <v>12</v>
      </c>
      <c r="B94" s="5" t="s">
        <v>57</v>
      </c>
      <c r="C94" s="5">
        <v>0</v>
      </c>
      <c r="D94" s="9">
        <v>1</v>
      </c>
      <c r="E94" s="6">
        <v>-3.9758691200000001E-2</v>
      </c>
    </row>
    <row r="95" spans="1:5" x14ac:dyDescent="0.3">
      <c r="A95" s="7">
        <v>12</v>
      </c>
      <c r="B95" s="7" t="s">
        <v>57</v>
      </c>
      <c r="C95" s="7">
        <v>1</v>
      </c>
      <c r="D95" s="10">
        <v>10</v>
      </c>
      <c r="E95" s="8">
        <v>-6.3117137700000006E-2</v>
      </c>
    </row>
    <row r="96" spans="1:5" x14ac:dyDescent="0.3">
      <c r="A96" s="5">
        <v>12</v>
      </c>
      <c r="B96" s="5" t="s">
        <v>57</v>
      </c>
      <c r="C96" s="5">
        <v>2</v>
      </c>
      <c r="D96" s="9">
        <v>100</v>
      </c>
      <c r="E96" s="6">
        <v>-5.7631395699999997E-2</v>
      </c>
    </row>
    <row r="97" spans="1:5" x14ac:dyDescent="0.3">
      <c r="A97" s="7">
        <v>12</v>
      </c>
      <c r="B97" s="7" t="s">
        <v>57</v>
      </c>
      <c r="C97" s="7">
        <v>3</v>
      </c>
      <c r="D97" s="10">
        <v>1000</v>
      </c>
      <c r="E97" s="8">
        <v>-5.7635401699999998E-2</v>
      </c>
    </row>
    <row r="98" spans="1:5" x14ac:dyDescent="0.3">
      <c r="A98" s="5">
        <v>13</v>
      </c>
      <c r="B98" s="5" t="s">
        <v>58</v>
      </c>
      <c r="C98" s="5">
        <v>-4</v>
      </c>
      <c r="D98" s="9">
        <v>1E-4</v>
      </c>
      <c r="E98" s="6">
        <v>0.5390513898</v>
      </c>
    </row>
    <row r="99" spans="1:5" x14ac:dyDescent="0.3">
      <c r="A99" s="7">
        <v>13</v>
      </c>
      <c r="B99" s="7" t="s">
        <v>58</v>
      </c>
      <c r="C99" s="7">
        <v>-3</v>
      </c>
      <c r="D99" s="10">
        <v>1E-3</v>
      </c>
      <c r="E99" s="8">
        <v>0.63538399820000002</v>
      </c>
    </row>
    <row r="100" spans="1:5" x14ac:dyDescent="0.3">
      <c r="A100" s="5">
        <v>13</v>
      </c>
      <c r="B100" s="5" t="s">
        <v>58</v>
      </c>
      <c r="C100" s="5">
        <v>-2</v>
      </c>
      <c r="D100" s="9">
        <v>0.01</v>
      </c>
      <c r="E100" s="6">
        <v>0.72365810659999996</v>
      </c>
    </row>
    <row r="101" spans="1:5" x14ac:dyDescent="0.3">
      <c r="A101" s="7">
        <v>13</v>
      </c>
      <c r="B101" s="7" t="s">
        <v>58</v>
      </c>
      <c r="C101" s="7">
        <v>-1</v>
      </c>
      <c r="D101" s="10">
        <v>0.1</v>
      </c>
      <c r="E101" s="8">
        <v>0.20714758580000001</v>
      </c>
    </row>
    <row r="102" spans="1:5" x14ac:dyDescent="0.3">
      <c r="A102" s="5">
        <v>13</v>
      </c>
      <c r="B102" s="5" t="s">
        <v>58</v>
      </c>
      <c r="C102" s="5">
        <v>0</v>
      </c>
      <c r="D102" s="9">
        <v>1</v>
      </c>
      <c r="E102" s="6">
        <v>-6.3960193799999995E-2</v>
      </c>
    </row>
    <row r="103" spans="1:5" x14ac:dyDescent="0.3">
      <c r="A103" s="7">
        <v>13</v>
      </c>
      <c r="B103" s="7" t="s">
        <v>58</v>
      </c>
      <c r="C103" s="7">
        <v>1</v>
      </c>
      <c r="D103" s="10">
        <v>10</v>
      </c>
      <c r="E103" s="8">
        <v>-8.9338762399999994E-2</v>
      </c>
    </row>
    <row r="104" spans="1:5" x14ac:dyDescent="0.3">
      <c r="A104" s="5">
        <v>13</v>
      </c>
      <c r="B104" s="5" t="s">
        <v>58</v>
      </c>
      <c r="C104" s="5">
        <v>2</v>
      </c>
      <c r="D104" s="9">
        <v>100</v>
      </c>
      <c r="E104" s="6">
        <v>-8.8770845900000006E-2</v>
      </c>
    </row>
    <row r="105" spans="1:5" x14ac:dyDescent="0.3">
      <c r="A105" s="7">
        <v>13</v>
      </c>
      <c r="B105" s="7" t="s">
        <v>58</v>
      </c>
      <c r="C105" s="7">
        <v>3</v>
      </c>
      <c r="D105" s="10">
        <v>1000</v>
      </c>
      <c r="E105" s="8">
        <v>-8.9602552299999999E-2</v>
      </c>
    </row>
    <row r="106" spans="1:5" x14ac:dyDescent="0.3">
      <c r="A106" s="5">
        <v>14</v>
      </c>
      <c r="B106" s="5" t="s">
        <v>59</v>
      </c>
      <c r="C106" s="5">
        <v>-4</v>
      </c>
      <c r="D106" s="9">
        <v>1E-4</v>
      </c>
      <c r="E106" s="6">
        <v>0.60264530149999995</v>
      </c>
    </row>
    <row r="107" spans="1:5" x14ac:dyDescent="0.3">
      <c r="A107" s="7">
        <v>14</v>
      </c>
      <c r="B107" s="7" t="s">
        <v>59</v>
      </c>
      <c r="C107" s="7">
        <v>-3</v>
      </c>
      <c r="D107" s="10">
        <v>1E-3</v>
      </c>
      <c r="E107" s="8">
        <v>0.55100488859999996</v>
      </c>
    </row>
    <row r="108" spans="1:5" x14ac:dyDescent="0.3">
      <c r="A108" s="5">
        <v>14</v>
      </c>
      <c r="B108" s="5" t="s">
        <v>59</v>
      </c>
      <c r="C108" s="5">
        <v>-2</v>
      </c>
      <c r="D108" s="9">
        <v>0.01</v>
      </c>
      <c r="E108" s="6">
        <v>0.29505219269999999</v>
      </c>
    </row>
    <row r="109" spans="1:5" x14ac:dyDescent="0.3">
      <c r="A109" s="7">
        <v>14</v>
      </c>
      <c r="B109" s="7" t="s">
        <v>59</v>
      </c>
      <c r="C109" s="7">
        <v>-1</v>
      </c>
      <c r="D109" s="10">
        <v>0.1</v>
      </c>
      <c r="E109" s="8">
        <v>3.1062544899999999E-2</v>
      </c>
    </row>
    <row r="110" spans="1:5" x14ac:dyDescent="0.3">
      <c r="A110" s="5">
        <v>14</v>
      </c>
      <c r="B110" s="5" t="s">
        <v>59</v>
      </c>
      <c r="C110" s="5">
        <v>0</v>
      </c>
      <c r="D110" s="9">
        <v>1</v>
      </c>
      <c r="E110" s="6">
        <v>-2.7903954000000002E-2</v>
      </c>
    </row>
    <row r="111" spans="1:5" x14ac:dyDescent="0.3">
      <c r="A111" s="7">
        <v>14</v>
      </c>
      <c r="B111" s="7" t="s">
        <v>59</v>
      </c>
      <c r="C111" s="7">
        <v>1</v>
      </c>
      <c r="D111" s="10">
        <v>10</v>
      </c>
      <c r="E111" s="8">
        <v>-3.5226455800000001E-2</v>
      </c>
    </row>
    <row r="112" spans="1:5" x14ac:dyDescent="0.3">
      <c r="A112" s="5">
        <v>14</v>
      </c>
      <c r="B112" s="5" t="s">
        <v>59</v>
      </c>
      <c r="C112" s="5">
        <v>2</v>
      </c>
      <c r="D112" s="9">
        <v>100</v>
      </c>
      <c r="E112" s="6">
        <v>-3.5226455800000001E-2</v>
      </c>
    </row>
    <row r="113" spans="1:5" x14ac:dyDescent="0.3">
      <c r="A113" s="7">
        <v>14</v>
      </c>
      <c r="B113" s="7" t="s">
        <v>59</v>
      </c>
      <c r="C113" s="7">
        <v>3</v>
      </c>
      <c r="D113" s="10">
        <v>1000</v>
      </c>
      <c r="E113" s="8">
        <v>-3.5226455800000001E-2</v>
      </c>
    </row>
    <row r="114" spans="1:5" x14ac:dyDescent="0.3">
      <c r="A114" s="5">
        <v>15</v>
      </c>
      <c r="B114" s="5" t="s">
        <v>60</v>
      </c>
      <c r="C114" s="5">
        <v>-4</v>
      </c>
      <c r="D114" s="9">
        <v>1E-4</v>
      </c>
      <c r="E114" s="6">
        <v>0.54543968629999995</v>
      </c>
    </row>
    <row r="115" spans="1:5" x14ac:dyDescent="0.3">
      <c r="A115" s="7">
        <v>15</v>
      </c>
      <c r="B115" s="7" t="s">
        <v>60</v>
      </c>
      <c r="C115" s="7">
        <v>-3</v>
      </c>
      <c r="D115" s="10">
        <v>1E-3</v>
      </c>
      <c r="E115" s="8">
        <v>0.65647572580000002</v>
      </c>
    </row>
    <row r="116" spans="1:5" x14ac:dyDescent="0.3">
      <c r="A116" s="5">
        <v>15</v>
      </c>
      <c r="B116" s="5" t="s">
        <v>60</v>
      </c>
      <c r="C116" s="5">
        <v>-2</v>
      </c>
      <c r="D116" s="9">
        <v>0.01</v>
      </c>
      <c r="E116" s="6">
        <v>0.63650939529999995</v>
      </c>
    </row>
    <row r="117" spans="1:5" x14ac:dyDescent="0.3">
      <c r="A117" s="7">
        <v>15</v>
      </c>
      <c r="B117" s="7" t="s">
        <v>60</v>
      </c>
      <c r="C117" s="7">
        <v>-1</v>
      </c>
      <c r="D117" s="10">
        <v>0.1</v>
      </c>
      <c r="E117" s="8">
        <v>0.14279409700000001</v>
      </c>
    </row>
    <row r="118" spans="1:5" x14ac:dyDescent="0.3">
      <c r="A118" s="5">
        <v>15</v>
      </c>
      <c r="B118" s="5" t="s">
        <v>60</v>
      </c>
      <c r="C118" s="5">
        <v>0</v>
      </c>
      <c r="D118" s="9">
        <v>1</v>
      </c>
      <c r="E118" s="6">
        <v>-0.2896157982</v>
      </c>
    </row>
    <row r="119" spans="1:5" x14ac:dyDescent="0.3">
      <c r="A119" s="7">
        <v>15</v>
      </c>
      <c r="B119" s="7" t="s">
        <v>60</v>
      </c>
      <c r="C119" s="7">
        <v>1</v>
      </c>
      <c r="D119" s="10">
        <v>10</v>
      </c>
      <c r="E119" s="8">
        <v>-0.3154002138</v>
      </c>
    </row>
    <row r="120" spans="1:5" x14ac:dyDescent="0.3">
      <c r="A120" s="5">
        <v>15</v>
      </c>
      <c r="B120" s="5" t="s">
        <v>60</v>
      </c>
      <c r="C120" s="5">
        <v>2</v>
      </c>
      <c r="D120" s="9">
        <v>100</v>
      </c>
      <c r="E120" s="6">
        <v>-0.31547437230000003</v>
      </c>
    </row>
    <row r="121" spans="1:5" x14ac:dyDescent="0.3">
      <c r="A121" s="7">
        <v>15</v>
      </c>
      <c r="B121" s="7" t="s">
        <v>60</v>
      </c>
      <c r="C121" s="7">
        <v>3</v>
      </c>
      <c r="D121" s="10">
        <v>1000</v>
      </c>
      <c r="E121" s="8">
        <v>-0.3154002138</v>
      </c>
    </row>
    <row r="122" spans="1:5" x14ac:dyDescent="0.3">
      <c r="A122" s="5">
        <v>16</v>
      </c>
      <c r="B122" s="5" t="s">
        <v>61</v>
      </c>
      <c r="C122" s="5">
        <v>-4</v>
      </c>
      <c r="D122" s="9">
        <v>1E-4</v>
      </c>
      <c r="E122" s="6">
        <v>0.43084537940000001</v>
      </c>
    </row>
    <row r="123" spans="1:5" x14ac:dyDescent="0.3">
      <c r="A123" s="7">
        <v>16</v>
      </c>
      <c r="B123" s="7" t="s">
        <v>61</v>
      </c>
      <c r="C123" s="7">
        <v>-3</v>
      </c>
      <c r="D123" s="10">
        <v>1E-3</v>
      </c>
      <c r="E123" s="8">
        <v>0.69228298060000004</v>
      </c>
    </row>
    <row r="124" spans="1:5" x14ac:dyDescent="0.3">
      <c r="A124" s="5">
        <v>16</v>
      </c>
      <c r="B124" s="5" t="s">
        <v>61</v>
      </c>
      <c r="C124" s="5">
        <v>-2</v>
      </c>
      <c r="D124" s="9">
        <v>0.01</v>
      </c>
      <c r="E124" s="6">
        <v>0.71698729080000001</v>
      </c>
    </row>
    <row r="125" spans="1:5" x14ac:dyDescent="0.3">
      <c r="A125" s="7">
        <v>16</v>
      </c>
      <c r="B125" s="7" t="s">
        <v>61</v>
      </c>
      <c r="C125" s="7">
        <v>-1</v>
      </c>
      <c r="D125" s="10">
        <v>0.1</v>
      </c>
      <c r="E125" s="8">
        <v>0.3620121764</v>
      </c>
    </row>
    <row r="126" spans="1:5" x14ac:dyDescent="0.3">
      <c r="A126" s="5">
        <v>16</v>
      </c>
      <c r="B126" s="5" t="s">
        <v>61</v>
      </c>
      <c r="C126" s="5">
        <v>0</v>
      </c>
      <c r="D126" s="9">
        <v>1</v>
      </c>
      <c r="E126" s="6">
        <v>0.1811665056</v>
      </c>
    </row>
    <row r="127" spans="1:5" x14ac:dyDescent="0.3">
      <c r="A127" s="7">
        <v>16</v>
      </c>
      <c r="B127" s="7" t="s">
        <v>61</v>
      </c>
      <c r="C127" s="7">
        <v>1</v>
      </c>
      <c r="D127" s="10">
        <v>10</v>
      </c>
      <c r="E127" s="8">
        <v>0.1624444817</v>
      </c>
    </row>
    <row r="128" spans="1:5" x14ac:dyDescent="0.3">
      <c r="A128" s="5">
        <v>16</v>
      </c>
      <c r="B128" s="5" t="s">
        <v>61</v>
      </c>
      <c r="C128" s="5">
        <v>2</v>
      </c>
      <c r="D128" s="9">
        <v>100</v>
      </c>
      <c r="E128" s="6">
        <v>0.16213521380000001</v>
      </c>
    </row>
    <row r="129" spans="1:5" x14ac:dyDescent="0.3">
      <c r="A129" s="7">
        <v>16</v>
      </c>
      <c r="B129" s="7" t="s">
        <v>61</v>
      </c>
      <c r="C129" s="7">
        <v>3</v>
      </c>
      <c r="D129" s="10">
        <v>1000</v>
      </c>
      <c r="E129" s="8">
        <v>0.160018841</v>
      </c>
    </row>
    <row r="130" spans="1:5" x14ac:dyDescent="0.3">
      <c r="A130" s="5">
        <v>17</v>
      </c>
      <c r="B130" s="5" t="s">
        <v>62</v>
      </c>
      <c r="C130" s="5">
        <v>-4</v>
      </c>
      <c r="D130" s="9">
        <v>1E-4</v>
      </c>
      <c r="E130" s="6">
        <v>0.53496779770000003</v>
      </c>
    </row>
    <row r="131" spans="1:5" x14ac:dyDescent="0.3">
      <c r="A131" s="7">
        <v>17</v>
      </c>
      <c r="B131" s="7" t="s">
        <v>62</v>
      </c>
      <c r="C131" s="7">
        <v>-3</v>
      </c>
      <c r="D131" s="10">
        <v>1E-3</v>
      </c>
      <c r="E131" s="8">
        <v>0.72643109790000004</v>
      </c>
    </row>
    <row r="132" spans="1:5" x14ac:dyDescent="0.3">
      <c r="A132" s="5">
        <v>17</v>
      </c>
      <c r="B132" s="5" t="s">
        <v>62</v>
      </c>
      <c r="C132" s="5">
        <v>-2</v>
      </c>
      <c r="D132" s="9">
        <v>0.01</v>
      </c>
      <c r="E132" s="6">
        <v>0.56547072119999997</v>
      </c>
    </row>
    <row r="133" spans="1:5" x14ac:dyDescent="0.3">
      <c r="A133" s="7">
        <v>17</v>
      </c>
      <c r="B133" s="7" t="s">
        <v>62</v>
      </c>
      <c r="C133" s="7">
        <v>-1</v>
      </c>
      <c r="D133" s="10">
        <v>0.1</v>
      </c>
      <c r="E133" s="8">
        <v>-0.3520774834</v>
      </c>
    </row>
    <row r="134" spans="1:5" x14ac:dyDescent="0.3">
      <c r="A134" s="5">
        <v>17</v>
      </c>
      <c r="B134" s="5" t="s">
        <v>62</v>
      </c>
      <c r="C134" s="5">
        <v>0</v>
      </c>
      <c r="D134" s="9">
        <v>1</v>
      </c>
      <c r="E134" s="6">
        <v>-0.64949112649999996</v>
      </c>
    </row>
    <row r="135" spans="1:5" x14ac:dyDescent="0.3">
      <c r="A135" s="7">
        <v>17</v>
      </c>
      <c r="B135" s="7" t="s">
        <v>62</v>
      </c>
      <c r="C135" s="7">
        <v>1</v>
      </c>
      <c r="D135" s="10">
        <v>10</v>
      </c>
      <c r="E135" s="8">
        <v>-0.66686015600000004</v>
      </c>
    </row>
    <row r="136" spans="1:5" x14ac:dyDescent="0.3">
      <c r="A136" s="5">
        <v>17</v>
      </c>
      <c r="B136" s="5" t="s">
        <v>62</v>
      </c>
      <c r="C136" s="5">
        <v>2</v>
      </c>
      <c r="D136" s="9">
        <v>100</v>
      </c>
      <c r="E136" s="6">
        <v>-0.67545259680000003</v>
      </c>
    </row>
    <row r="137" spans="1:5" x14ac:dyDescent="0.3">
      <c r="A137" s="7">
        <v>17</v>
      </c>
      <c r="B137" s="7" t="s">
        <v>62</v>
      </c>
      <c r="C137" s="7">
        <v>3</v>
      </c>
      <c r="D137" s="10">
        <v>1000</v>
      </c>
      <c r="E137" s="8">
        <v>-0.67429199979999999</v>
      </c>
    </row>
    <row r="138" spans="1:5" x14ac:dyDescent="0.3">
      <c r="A138" s="5">
        <v>18</v>
      </c>
      <c r="B138" s="5" t="s">
        <v>63</v>
      </c>
      <c r="C138" s="5">
        <v>-4</v>
      </c>
      <c r="D138" s="9">
        <v>1E-4</v>
      </c>
      <c r="E138" s="6">
        <v>0.75563219159999995</v>
      </c>
    </row>
    <row r="139" spans="1:5" x14ac:dyDescent="0.3">
      <c r="A139" s="7">
        <v>18</v>
      </c>
      <c r="B139" s="7" t="s">
        <v>63</v>
      </c>
      <c r="C139" s="7">
        <v>-3</v>
      </c>
      <c r="D139" s="10">
        <v>1E-3</v>
      </c>
      <c r="E139" s="8">
        <v>0.81406933469999998</v>
      </c>
    </row>
    <row r="140" spans="1:5" x14ac:dyDescent="0.3">
      <c r="A140" s="5">
        <v>18</v>
      </c>
      <c r="B140" s="5" t="s">
        <v>63</v>
      </c>
      <c r="C140" s="5">
        <v>-2</v>
      </c>
      <c r="D140" s="9">
        <v>0.01</v>
      </c>
      <c r="E140" s="6">
        <v>0.25344391220000001</v>
      </c>
    </row>
    <row r="141" spans="1:5" x14ac:dyDescent="0.3">
      <c r="A141" s="7">
        <v>18</v>
      </c>
      <c r="B141" s="7" t="s">
        <v>63</v>
      </c>
      <c r="C141" s="7">
        <v>-1</v>
      </c>
      <c r="D141" s="10">
        <v>0.1</v>
      </c>
      <c r="E141" s="8">
        <v>-0.23249108139999999</v>
      </c>
    </row>
    <row r="142" spans="1:5" x14ac:dyDescent="0.3">
      <c r="A142" s="5">
        <v>18</v>
      </c>
      <c r="B142" s="5" t="s">
        <v>63</v>
      </c>
      <c r="C142" s="5">
        <v>0</v>
      </c>
      <c r="D142" s="9">
        <v>1</v>
      </c>
      <c r="E142" s="6">
        <v>-0.40597611189999999</v>
      </c>
    </row>
    <row r="143" spans="1:5" x14ac:dyDescent="0.3">
      <c r="A143" s="7">
        <v>18</v>
      </c>
      <c r="B143" s="7" t="s">
        <v>63</v>
      </c>
      <c r="C143" s="7">
        <v>1</v>
      </c>
      <c r="D143" s="10">
        <v>10</v>
      </c>
      <c r="E143" s="8">
        <v>-0.41529368760000002</v>
      </c>
    </row>
    <row r="144" spans="1:5" x14ac:dyDescent="0.3">
      <c r="A144" s="5">
        <v>18</v>
      </c>
      <c r="B144" s="5" t="s">
        <v>63</v>
      </c>
      <c r="C144" s="5">
        <v>2</v>
      </c>
      <c r="D144" s="9">
        <v>100</v>
      </c>
      <c r="E144" s="6">
        <v>-0.41535432020000002</v>
      </c>
    </row>
    <row r="145" spans="1:5" x14ac:dyDescent="0.3">
      <c r="A145" s="7">
        <v>18</v>
      </c>
      <c r="B145" s="7" t="s">
        <v>63</v>
      </c>
      <c r="C145" s="7">
        <v>3</v>
      </c>
      <c r="D145" s="10">
        <v>1000</v>
      </c>
      <c r="E145" s="8">
        <v>-0.41521564490000001</v>
      </c>
    </row>
    <row r="146" spans="1:5" x14ac:dyDescent="0.3">
      <c r="A146" s="5">
        <v>19</v>
      </c>
      <c r="B146" s="5" t="s">
        <v>64</v>
      </c>
      <c r="C146" s="5">
        <v>-4</v>
      </c>
      <c r="D146" s="9">
        <v>1E-4</v>
      </c>
      <c r="E146" s="6">
        <v>0.14113466720000001</v>
      </c>
    </row>
    <row r="147" spans="1:5" x14ac:dyDescent="0.3">
      <c r="A147" s="7">
        <v>19</v>
      </c>
      <c r="B147" s="7" t="s">
        <v>64</v>
      </c>
      <c r="C147" s="7">
        <v>-3</v>
      </c>
      <c r="D147" s="10">
        <v>1E-3</v>
      </c>
      <c r="E147" s="8">
        <v>0.3915271065</v>
      </c>
    </row>
    <row r="148" spans="1:5" x14ac:dyDescent="0.3">
      <c r="A148" s="5">
        <v>19</v>
      </c>
      <c r="B148" s="5" t="s">
        <v>64</v>
      </c>
      <c r="C148" s="5">
        <v>-2</v>
      </c>
      <c r="D148" s="9">
        <v>0.01</v>
      </c>
      <c r="E148" s="6">
        <v>0.91179388979999998</v>
      </c>
    </row>
    <row r="149" spans="1:5" x14ac:dyDescent="0.3">
      <c r="A149" s="7">
        <v>19</v>
      </c>
      <c r="B149" s="7" t="s">
        <v>64</v>
      </c>
      <c r="C149" s="7">
        <v>-1</v>
      </c>
      <c r="D149" s="10">
        <v>0.1</v>
      </c>
      <c r="E149" s="8">
        <v>0.85596348659999999</v>
      </c>
    </row>
    <row r="150" spans="1:5" x14ac:dyDescent="0.3">
      <c r="A150" s="5">
        <v>19</v>
      </c>
      <c r="B150" s="5" t="s">
        <v>64</v>
      </c>
      <c r="C150" s="5">
        <v>0</v>
      </c>
      <c r="D150" s="9">
        <v>1</v>
      </c>
      <c r="E150" s="6">
        <v>0.71148266680000005</v>
      </c>
    </row>
    <row r="151" spans="1:5" x14ac:dyDescent="0.3">
      <c r="A151" s="7">
        <v>19</v>
      </c>
      <c r="B151" s="7" t="s">
        <v>64</v>
      </c>
      <c r="C151" s="7">
        <v>1</v>
      </c>
      <c r="D151" s="10">
        <v>10</v>
      </c>
      <c r="E151" s="8">
        <v>0.67267926219999996</v>
      </c>
    </row>
    <row r="152" spans="1:5" x14ac:dyDescent="0.3">
      <c r="A152" s="5">
        <v>19</v>
      </c>
      <c r="B152" s="5" t="s">
        <v>64</v>
      </c>
      <c r="C152" s="5">
        <v>2</v>
      </c>
      <c r="D152" s="9">
        <v>100</v>
      </c>
      <c r="E152" s="6">
        <v>0.6730223568</v>
      </c>
    </row>
    <row r="153" spans="1:5" x14ac:dyDescent="0.3">
      <c r="A153" s="7">
        <v>19</v>
      </c>
      <c r="B153" s="7" t="s">
        <v>64</v>
      </c>
      <c r="C153" s="7">
        <v>3</v>
      </c>
      <c r="D153" s="10">
        <v>1000</v>
      </c>
      <c r="E153" s="8">
        <v>0.6664590091</v>
      </c>
    </row>
    <row r="154" spans="1:5" x14ac:dyDescent="0.3">
      <c r="A154" s="5">
        <v>20</v>
      </c>
      <c r="B154" s="5" t="s">
        <v>65</v>
      </c>
      <c r="C154" s="5">
        <v>-4</v>
      </c>
      <c r="D154" s="9">
        <v>1E-4</v>
      </c>
      <c r="E154" s="6">
        <v>0.60636807940000004</v>
      </c>
    </row>
    <row r="155" spans="1:5" x14ac:dyDescent="0.3">
      <c r="A155" s="7">
        <v>20</v>
      </c>
      <c r="B155" s="7" t="s">
        <v>65</v>
      </c>
      <c r="C155" s="7">
        <v>-3</v>
      </c>
      <c r="D155" s="10">
        <v>1E-3</v>
      </c>
      <c r="E155" s="8">
        <v>0.65098503679999997</v>
      </c>
    </row>
    <row r="156" spans="1:5" x14ac:dyDescent="0.3">
      <c r="A156" s="5">
        <v>20</v>
      </c>
      <c r="B156" s="5" t="s">
        <v>65</v>
      </c>
      <c r="C156" s="5">
        <v>-2</v>
      </c>
      <c r="D156" s="9">
        <v>0.01</v>
      </c>
      <c r="E156" s="6">
        <v>0.70262370269999996</v>
      </c>
    </row>
    <row r="157" spans="1:5" x14ac:dyDescent="0.3">
      <c r="A157" s="7">
        <v>20</v>
      </c>
      <c r="B157" s="7" t="s">
        <v>65</v>
      </c>
      <c r="C157" s="7">
        <v>-1</v>
      </c>
      <c r="D157" s="10">
        <v>0.1</v>
      </c>
      <c r="E157" s="8">
        <v>0.44296021940000002</v>
      </c>
    </row>
    <row r="158" spans="1:5" x14ac:dyDescent="0.3">
      <c r="A158" s="5">
        <v>20</v>
      </c>
      <c r="B158" s="5" t="s">
        <v>65</v>
      </c>
      <c r="C158" s="5">
        <v>0</v>
      </c>
      <c r="D158" s="9">
        <v>1</v>
      </c>
      <c r="E158" s="6">
        <v>0.15919194580000001</v>
      </c>
    </row>
    <row r="159" spans="1:5" x14ac:dyDescent="0.3">
      <c r="A159" s="7">
        <v>20</v>
      </c>
      <c r="B159" s="7" t="s">
        <v>65</v>
      </c>
      <c r="C159" s="7">
        <v>1</v>
      </c>
      <c r="D159" s="10">
        <v>10</v>
      </c>
      <c r="E159" s="8">
        <v>8.6279357200000004E-2</v>
      </c>
    </row>
    <row r="160" spans="1:5" x14ac:dyDescent="0.3">
      <c r="A160" s="5">
        <v>20</v>
      </c>
      <c r="B160" s="5" t="s">
        <v>65</v>
      </c>
      <c r="C160" s="5">
        <v>2</v>
      </c>
      <c r="D160" s="9">
        <v>100</v>
      </c>
      <c r="E160" s="6">
        <v>8.6279357200000004E-2</v>
      </c>
    </row>
    <row r="161" spans="1:5" x14ac:dyDescent="0.3">
      <c r="A161" s="7">
        <v>20</v>
      </c>
      <c r="B161" s="7" t="s">
        <v>65</v>
      </c>
      <c r="C161" s="7">
        <v>3</v>
      </c>
      <c r="D161" s="10">
        <v>1000</v>
      </c>
      <c r="E161" s="8">
        <v>8.6279357200000004E-2</v>
      </c>
    </row>
    <row r="162" spans="1:5" x14ac:dyDescent="0.3">
      <c r="A162" s="5">
        <v>21</v>
      </c>
      <c r="B162" s="5" t="s">
        <v>66</v>
      </c>
      <c r="C162" s="5">
        <v>-4</v>
      </c>
      <c r="D162" s="9">
        <v>1E-4</v>
      </c>
      <c r="E162" s="6">
        <v>0.49233938500000002</v>
      </c>
    </row>
    <row r="163" spans="1:5" x14ac:dyDescent="0.3">
      <c r="A163" s="7">
        <v>21</v>
      </c>
      <c r="B163" s="7" t="s">
        <v>66</v>
      </c>
      <c r="C163" s="7">
        <v>-3</v>
      </c>
      <c r="D163" s="10">
        <v>1E-3</v>
      </c>
      <c r="E163" s="8">
        <v>0.61839570450000003</v>
      </c>
    </row>
    <row r="164" spans="1:5" x14ac:dyDescent="0.3">
      <c r="A164" s="5">
        <v>21</v>
      </c>
      <c r="B164" s="5" t="s">
        <v>66</v>
      </c>
      <c r="C164" s="5">
        <v>-2</v>
      </c>
      <c r="D164" s="9">
        <v>0.01</v>
      </c>
      <c r="E164" s="6">
        <v>0.5166454318</v>
      </c>
    </row>
    <row r="165" spans="1:5" x14ac:dyDescent="0.3">
      <c r="A165" s="7">
        <v>21</v>
      </c>
      <c r="B165" s="7" t="s">
        <v>66</v>
      </c>
      <c r="C165" s="7">
        <v>-1</v>
      </c>
      <c r="D165" s="10">
        <v>0.1</v>
      </c>
      <c r="E165" s="8">
        <v>-0.37483225930000003</v>
      </c>
    </row>
    <row r="166" spans="1:5" x14ac:dyDescent="0.3">
      <c r="A166" s="5">
        <v>21</v>
      </c>
      <c r="B166" s="5" t="s">
        <v>66</v>
      </c>
      <c r="C166" s="5">
        <v>0</v>
      </c>
      <c r="D166" s="9">
        <v>1</v>
      </c>
      <c r="E166" s="6">
        <v>-0.70165834090000001</v>
      </c>
    </row>
    <row r="167" spans="1:5" x14ac:dyDescent="0.3">
      <c r="A167" s="7">
        <v>21</v>
      </c>
      <c r="B167" s="7" t="s">
        <v>66</v>
      </c>
      <c r="C167" s="7">
        <v>1</v>
      </c>
      <c r="D167" s="10">
        <v>10</v>
      </c>
      <c r="E167" s="8">
        <v>-0.73405303340000005</v>
      </c>
    </row>
    <row r="168" spans="1:5" x14ac:dyDescent="0.3">
      <c r="A168" s="5">
        <v>21</v>
      </c>
      <c r="B168" s="5" t="s">
        <v>66</v>
      </c>
      <c r="C168" s="5">
        <v>2</v>
      </c>
      <c r="D168" s="9">
        <v>100</v>
      </c>
      <c r="E168" s="6">
        <v>-0.73405303340000005</v>
      </c>
    </row>
    <row r="169" spans="1:5" x14ac:dyDescent="0.3">
      <c r="A169" s="7">
        <v>21</v>
      </c>
      <c r="B169" s="7" t="s">
        <v>66</v>
      </c>
      <c r="C169" s="7">
        <v>3</v>
      </c>
      <c r="D169" s="10">
        <v>1000</v>
      </c>
      <c r="E169" s="8">
        <v>-0.73405303340000005</v>
      </c>
    </row>
    <row r="170" spans="1:5" x14ac:dyDescent="0.3">
      <c r="A170" s="5">
        <v>22</v>
      </c>
      <c r="B170" s="5" t="s">
        <v>67</v>
      </c>
      <c r="C170" s="5">
        <v>-4</v>
      </c>
      <c r="D170" s="9">
        <v>1E-4</v>
      </c>
      <c r="E170" s="6">
        <v>0.73080677059999999</v>
      </c>
    </row>
    <row r="171" spans="1:5" x14ac:dyDescent="0.3">
      <c r="A171" s="7">
        <v>22</v>
      </c>
      <c r="B171" s="7" t="s">
        <v>67</v>
      </c>
      <c r="C171" s="7">
        <v>-3</v>
      </c>
      <c r="D171" s="10">
        <v>1E-3</v>
      </c>
      <c r="E171" s="8">
        <v>0.78065837800000004</v>
      </c>
    </row>
    <row r="172" spans="1:5" x14ac:dyDescent="0.3">
      <c r="A172" s="5">
        <v>22</v>
      </c>
      <c r="B172" s="5" t="s">
        <v>67</v>
      </c>
      <c r="C172" s="5">
        <v>-2</v>
      </c>
      <c r="D172" s="9">
        <v>0.01</v>
      </c>
      <c r="E172" s="6">
        <v>0.87977014929999997</v>
      </c>
    </row>
    <row r="173" spans="1:5" x14ac:dyDescent="0.3">
      <c r="A173" s="7">
        <v>22</v>
      </c>
      <c r="B173" s="7" t="s">
        <v>67</v>
      </c>
      <c r="C173" s="7">
        <v>-1</v>
      </c>
      <c r="D173" s="10">
        <v>0.1</v>
      </c>
      <c r="E173" s="8">
        <v>0.66674758619999996</v>
      </c>
    </row>
    <row r="174" spans="1:5" x14ac:dyDescent="0.3">
      <c r="A174" s="5">
        <v>22</v>
      </c>
      <c r="B174" s="5" t="s">
        <v>67</v>
      </c>
      <c r="C174" s="5">
        <v>0</v>
      </c>
      <c r="D174" s="9">
        <v>1</v>
      </c>
      <c r="E174" s="6">
        <v>0.2033885449</v>
      </c>
    </row>
    <row r="175" spans="1:5" x14ac:dyDescent="0.3">
      <c r="A175" s="7">
        <v>22</v>
      </c>
      <c r="B175" s="7" t="s">
        <v>67</v>
      </c>
      <c r="C175" s="7">
        <v>1</v>
      </c>
      <c r="D175" s="10">
        <v>10</v>
      </c>
      <c r="E175" s="8">
        <v>0.165198452</v>
      </c>
    </row>
    <row r="176" spans="1:5" x14ac:dyDescent="0.3">
      <c r="A176" s="5">
        <v>22</v>
      </c>
      <c r="B176" s="5" t="s">
        <v>67</v>
      </c>
      <c r="C176" s="5">
        <v>2</v>
      </c>
      <c r="D176" s="9">
        <v>100</v>
      </c>
      <c r="E176" s="6">
        <v>0.1646383901</v>
      </c>
    </row>
    <row r="177" spans="1:5" x14ac:dyDescent="0.3">
      <c r="A177" s="7">
        <v>22</v>
      </c>
      <c r="B177" s="7" t="s">
        <v>67</v>
      </c>
      <c r="C177" s="7">
        <v>3</v>
      </c>
      <c r="D177" s="10">
        <v>1000</v>
      </c>
      <c r="E177" s="8">
        <v>0.16408668730000001</v>
      </c>
    </row>
    <row r="178" spans="1:5" x14ac:dyDescent="0.3">
      <c r="A178" s="5">
        <v>23</v>
      </c>
      <c r="B178" s="5" t="s">
        <v>68</v>
      </c>
      <c r="C178" s="5">
        <v>-4</v>
      </c>
      <c r="D178" s="9">
        <v>1E-4</v>
      </c>
      <c r="E178" s="6">
        <v>0.51973588739999999</v>
      </c>
    </row>
    <row r="179" spans="1:5" x14ac:dyDescent="0.3">
      <c r="A179" s="7">
        <v>23</v>
      </c>
      <c r="B179" s="7" t="s">
        <v>68</v>
      </c>
      <c r="C179" s="7">
        <v>-3</v>
      </c>
      <c r="D179" s="10">
        <v>1E-3</v>
      </c>
      <c r="E179" s="8">
        <v>0.76397389120000003</v>
      </c>
    </row>
    <row r="180" spans="1:5" x14ac:dyDescent="0.3">
      <c r="A180" s="5">
        <v>23</v>
      </c>
      <c r="B180" s="5" t="s">
        <v>68</v>
      </c>
      <c r="C180" s="5">
        <v>-2</v>
      </c>
      <c r="D180" s="9">
        <v>0.01</v>
      </c>
      <c r="E180" s="6">
        <v>0.87506530459999998</v>
      </c>
    </row>
    <row r="181" spans="1:5" x14ac:dyDescent="0.3">
      <c r="A181" s="7">
        <v>23</v>
      </c>
      <c r="B181" s="7" t="s">
        <v>68</v>
      </c>
      <c r="C181" s="7">
        <v>-1</v>
      </c>
      <c r="D181" s="10">
        <v>0.1</v>
      </c>
      <c r="E181" s="8">
        <v>0.1150219054</v>
      </c>
    </row>
    <row r="182" spans="1:5" x14ac:dyDescent="0.3">
      <c r="A182" s="5">
        <v>23</v>
      </c>
      <c r="B182" s="5" t="s">
        <v>68</v>
      </c>
      <c r="C182" s="5">
        <v>0</v>
      </c>
      <c r="D182" s="9">
        <v>1</v>
      </c>
      <c r="E182" s="6">
        <v>-0.22724565599999999</v>
      </c>
    </row>
    <row r="183" spans="1:5" x14ac:dyDescent="0.3">
      <c r="A183" s="7">
        <v>23</v>
      </c>
      <c r="B183" s="7" t="s">
        <v>68</v>
      </c>
      <c r="C183" s="7">
        <v>1</v>
      </c>
      <c r="D183" s="10">
        <v>10</v>
      </c>
      <c r="E183" s="8">
        <v>-0.2548695044</v>
      </c>
    </row>
    <row r="184" spans="1:5" x14ac:dyDescent="0.3">
      <c r="A184" s="5">
        <v>23</v>
      </c>
      <c r="B184" s="5" t="s">
        <v>68</v>
      </c>
      <c r="C184" s="5">
        <v>2</v>
      </c>
      <c r="D184" s="9">
        <v>100</v>
      </c>
      <c r="E184" s="6">
        <v>-0.25175597960000001</v>
      </c>
    </row>
    <row r="185" spans="1:5" x14ac:dyDescent="0.3">
      <c r="A185" s="7">
        <v>23</v>
      </c>
      <c r="B185" s="7" t="s">
        <v>68</v>
      </c>
      <c r="C185" s="7">
        <v>3</v>
      </c>
      <c r="D185" s="10">
        <v>1000</v>
      </c>
      <c r="E185" s="8">
        <v>-0.25949291949999997</v>
      </c>
    </row>
    <row r="186" spans="1:5" x14ac:dyDescent="0.3">
      <c r="A186" s="5">
        <v>24</v>
      </c>
      <c r="B186" s="5" t="s">
        <v>69</v>
      </c>
      <c r="C186" s="5">
        <v>-4</v>
      </c>
      <c r="D186" s="9">
        <v>1E-4</v>
      </c>
      <c r="E186" s="6">
        <v>0.37852646130000001</v>
      </c>
    </row>
    <row r="187" spans="1:5" x14ac:dyDescent="0.3">
      <c r="A187" s="7">
        <v>24</v>
      </c>
      <c r="B187" s="7" t="s">
        <v>69</v>
      </c>
      <c r="C187" s="7">
        <v>-3</v>
      </c>
      <c r="D187" s="10">
        <v>1E-3</v>
      </c>
      <c r="E187" s="8">
        <v>0.68831098219999998</v>
      </c>
    </row>
    <row r="188" spans="1:5" x14ac:dyDescent="0.3">
      <c r="A188" s="5">
        <v>24</v>
      </c>
      <c r="B188" s="5" t="s">
        <v>69</v>
      </c>
      <c r="C188" s="5">
        <v>-2</v>
      </c>
      <c r="D188" s="9">
        <v>0.01</v>
      </c>
      <c r="E188" s="6">
        <v>0.93560610170000003</v>
      </c>
    </row>
    <row r="189" spans="1:5" x14ac:dyDescent="0.3">
      <c r="A189" s="7">
        <v>24</v>
      </c>
      <c r="B189" s="7" t="s">
        <v>69</v>
      </c>
      <c r="C189" s="7">
        <v>-1</v>
      </c>
      <c r="D189" s="10">
        <v>0.1</v>
      </c>
      <c r="E189" s="8">
        <v>0.67298388180000002</v>
      </c>
    </row>
    <row r="190" spans="1:5" x14ac:dyDescent="0.3">
      <c r="A190" s="5">
        <v>24</v>
      </c>
      <c r="B190" s="5" t="s">
        <v>69</v>
      </c>
      <c r="C190" s="5">
        <v>0</v>
      </c>
      <c r="D190" s="9">
        <v>1</v>
      </c>
      <c r="E190" s="6">
        <v>0.50938386960000004</v>
      </c>
    </row>
    <row r="191" spans="1:5" x14ac:dyDescent="0.3">
      <c r="A191" s="7">
        <v>24</v>
      </c>
      <c r="B191" s="7" t="s">
        <v>69</v>
      </c>
      <c r="C191" s="7">
        <v>1</v>
      </c>
      <c r="D191" s="10">
        <v>10</v>
      </c>
      <c r="E191" s="8">
        <v>0.49073603339999999</v>
      </c>
    </row>
    <row r="192" spans="1:5" x14ac:dyDescent="0.3">
      <c r="A192" s="5">
        <v>24</v>
      </c>
      <c r="B192" s="5" t="s">
        <v>69</v>
      </c>
      <c r="C192" s="5">
        <v>2</v>
      </c>
      <c r="D192" s="9">
        <v>100</v>
      </c>
      <c r="E192" s="6">
        <v>0.49207173450000002</v>
      </c>
    </row>
    <row r="193" spans="1:5" x14ac:dyDescent="0.3">
      <c r="A193" s="7">
        <v>24</v>
      </c>
      <c r="B193" s="7" t="s">
        <v>69</v>
      </c>
      <c r="C193" s="7">
        <v>3</v>
      </c>
      <c r="D193" s="10">
        <v>1000</v>
      </c>
      <c r="E193" s="8">
        <v>0.49381421580000001</v>
      </c>
    </row>
    <row r="194" spans="1:5" x14ac:dyDescent="0.3">
      <c r="A194" s="5">
        <v>25</v>
      </c>
      <c r="B194" s="5" t="s">
        <v>70</v>
      </c>
      <c r="C194" s="5">
        <v>-4</v>
      </c>
      <c r="D194" s="9">
        <v>1E-4</v>
      </c>
      <c r="E194" s="6">
        <v>0.4335235851</v>
      </c>
    </row>
    <row r="195" spans="1:5" x14ac:dyDescent="0.3">
      <c r="A195" s="7">
        <v>25</v>
      </c>
      <c r="B195" s="7" t="s">
        <v>70</v>
      </c>
      <c r="C195" s="7">
        <v>-3</v>
      </c>
      <c r="D195" s="10">
        <v>1E-3</v>
      </c>
      <c r="E195" s="8">
        <v>0.67279999400000001</v>
      </c>
    </row>
    <row r="196" spans="1:5" x14ac:dyDescent="0.3">
      <c r="A196" s="5">
        <v>25</v>
      </c>
      <c r="B196" s="5" t="s">
        <v>70</v>
      </c>
      <c r="C196" s="5">
        <v>-2</v>
      </c>
      <c r="D196" s="9">
        <v>0.01</v>
      </c>
      <c r="E196" s="6">
        <v>0.69998419300000003</v>
      </c>
    </row>
    <row r="197" spans="1:5" x14ac:dyDescent="0.3">
      <c r="A197" s="7">
        <v>25</v>
      </c>
      <c r="B197" s="7" t="s">
        <v>70</v>
      </c>
      <c r="C197" s="7">
        <v>-1</v>
      </c>
      <c r="D197" s="10">
        <v>0.1</v>
      </c>
      <c r="E197" s="8">
        <v>0.17341195509999999</v>
      </c>
    </row>
    <row r="198" spans="1:5" x14ac:dyDescent="0.3">
      <c r="A198" s="5">
        <v>25</v>
      </c>
      <c r="B198" s="5" t="s">
        <v>70</v>
      </c>
      <c r="C198" s="5">
        <v>0</v>
      </c>
      <c r="D198" s="9">
        <v>1</v>
      </c>
      <c r="E198" s="6">
        <v>-0.1255470585</v>
      </c>
    </row>
    <row r="199" spans="1:5" x14ac:dyDescent="0.3">
      <c r="A199" s="7">
        <v>25</v>
      </c>
      <c r="B199" s="7" t="s">
        <v>70</v>
      </c>
      <c r="C199" s="7">
        <v>1</v>
      </c>
      <c r="D199" s="10">
        <v>10</v>
      </c>
      <c r="E199" s="8">
        <v>-0.12447556849999999</v>
      </c>
    </row>
    <row r="200" spans="1:5" x14ac:dyDescent="0.3">
      <c r="A200" s="5">
        <v>25</v>
      </c>
      <c r="B200" s="5" t="s">
        <v>70</v>
      </c>
      <c r="C200" s="5">
        <v>2</v>
      </c>
      <c r="D200" s="9">
        <v>100</v>
      </c>
      <c r="E200" s="6">
        <v>-0.164841038</v>
      </c>
    </row>
    <row r="201" spans="1:5" x14ac:dyDescent="0.3">
      <c r="A201" s="7">
        <v>25</v>
      </c>
      <c r="B201" s="7" t="s">
        <v>70</v>
      </c>
      <c r="C201" s="7">
        <v>3</v>
      </c>
      <c r="D201" s="10">
        <v>1000</v>
      </c>
      <c r="E201" s="8">
        <v>-0.14866257090000001</v>
      </c>
    </row>
    <row r="202" spans="1:5" x14ac:dyDescent="0.3">
      <c r="A202" s="5">
        <v>26</v>
      </c>
      <c r="B202" s="5" t="s">
        <v>71</v>
      </c>
      <c r="C202" s="5">
        <v>-4</v>
      </c>
      <c r="D202" s="9">
        <v>1E-4</v>
      </c>
      <c r="E202" s="6">
        <v>0.37612748159999998</v>
      </c>
    </row>
    <row r="203" spans="1:5" x14ac:dyDescent="0.3">
      <c r="A203" s="7">
        <v>26</v>
      </c>
      <c r="B203" s="7" t="s">
        <v>71</v>
      </c>
      <c r="C203" s="7">
        <v>-3</v>
      </c>
      <c r="D203" s="10">
        <v>1E-3</v>
      </c>
      <c r="E203" s="8">
        <v>0.56807263630000004</v>
      </c>
    </row>
    <row r="204" spans="1:5" x14ac:dyDescent="0.3">
      <c r="A204" s="5">
        <v>26</v>
      </c>
      <c r="B204" s="5" t="s">
        <v>71</v>
      </c>
      <c r="C204" s="5">
        <v>-2</v>
      </c>
      <c r="D204" s="9">
        <v>0.01</v>
      </c>
      <c r="E204" s="6">
        <v>0.88668569330000002</v>
      </c>
    </row>
    <row r="205" spans="1:5" x14ac:dyDescent="0.3">
      <c r="A205" s="7">
        <v>26</v>
      </c>
      <c r="B205" s="7" t="s">
        <v>71</v>
      </c>
      <c r="C205" s="7">
        <v>-1</v>
      </c>
      <c r="D205" s="10">
        <v>0.1</v>
      </c>
      <c r="E205" s="8">
        <v>0.69662552470000005</v>
      </c>
    </row>
    <row r="206" spans="1:5" x14ac:dyDescent="0.3">
      <c r="A206" s="5">
        <v>26</v>
      </c>
      <c r="B206" s="5" t="s">
        <v>71</v>
      </c>
      <c r="C206" s="5">
        <v>0</v>
      </c>
      <c r="D206" s="9">
        <v>1</v>
      </c>
      <c r="E206" s="6">
        <v>0.51838063430000003</v>
      </c>
    </row>
    <row r="207" spans="1:5" x14ac:dyDescent="0.3">
      <c r="A207" s="7">
        <v>26</v>
      </c>
      <c r="B207" s="7" t="s">
        <v>71</v>
      </c>
      <c r="C207" s="7">
        <v>1</v>
      </c>
      <c r="D207" s="10">
        <v>10</v>
      </c>
      <c r="E207" s="8">
        <v>0.4985839185</v>
      </c>
    </row>
    <row r="208" spans="1:5" x14ac:dyDescent="0.3">
      <c r="A208" s="5">
        <v>26</v>
      </c>
      <c r="B208" s="5" t="s">
        <v>71</v>
      </c>
      <c r="C208" s="5">
        <v>2</v>
      </c>
      <c r="D208" s="9">
        <v>100</v>
      </c>
      <c r="E208" s="6">
        <v>0.49751062579999999</v>
      </c>
    </row>
    <row r="209" spans="1:5" x14ac:dyDescent="0.3">
      <c r="A209" s="7">
        <v>26</v>
      </c>
      <c r="B209" s="7" t="s">
        <v>71</v>
      </c>
      <c r="C209" s="7">
        <v>3</v>
      </c>
      <c r="D209" s="10">
        <v>1000</v>
      </c>
      <c r="E209" s="8">
        <v>0.50028650220000004</v>
      </c>
    </row>
    <row r="210" spans="1:5" x14ac:dyDescent="0.3">
      <c r="A210" s="5">
        <v>27</v>
      </c>
      <c r="B210" s="5" t="s">
        <v>72</v>
      </c>
      <c r="C210" s="5">
        <v>-4</v>
      </c>
      <c r="D210" s="9">
        <v>1E-4</v>
      </c>
      <c r="E210" s="6">
        <v>0.53701371249999996</v>
      </c>
    </row>
    <row r="211" spans="1:5" x14ac:dyDescent="0.3">
      <c r="A211" s="7">
        <v>27</v>
      </c>
      <c r="B211" s="7" t="s">
        <v>72</v>
      </c>
      <c r="C211" s="7">
        <v>-3</v>
      </c>
      <c r="D211" s="10">
        <v>1E-3</v>
      </c>
      <c r="E211" s="8">
        <v>0.77012832850000001</v>
      </c>
    </row>
    <row r="212" spans="1:5" x14ac:dyDescent="0.3">
      <c r="A212" s="5">
        <v>27</v>
      </c>
      <c r="B212" s="5" t="s">
        <v>72</v>
      </c>
      <c r="C212" s="5">
        <v>-2</v>
      </c>
      <c r="D212" s="9">
        <v>0.01</v>
      </c>
      <c r="E212" s="6">
        <v>0.75021905129999999</v>
      </c>
    </row>
    <row r="213" spans="1:5" x14ac:dyDescent="0.3">
      <c r="A213" s="7">
        <v>27</v>
      </c>
      <c r="B213" s="7" t="s">
        <v>72</v>
      </c>
      <c r="C213" s="7">
        <v>-1</v>
      </c>
      <c r="D213" s="10">
        <v>0.1</v>
      </c>
      <c r="E213" s="8">
        <v>0.24033286700000001</v>
      </c>
    </row>
    <row r="214" spans="1:5" x14ac:dyDescent="0.3">
      <c r="A214" s="5">
        <v>27</v>
      </c>
      <c r="B214" s="5" t="s">
        <v>72</v>
      </c>
      <c r="C214" s="5">
        <v>0</v>
      </c>
      <c r="D214" s="9">
        <v>1</v>
      </c>
      <c r="E214" s="6">
        <v>3.1901414599999997E-2</v>
      </c>
    </row>
    <row r="215" spans="1:5" x14ac:dyDescent="0.3">
      <c r="A215" s="7">
        <v>27</v>
      </c>
      <c r="B215" s="7" t="s">
        <v>72</v>
      </c>
      <c r="C215" s="7">
        <v>1</v>
      </c>
      <c r="D215" s="10">
        <v>10</v>
      </c>
      <c r="E215" s="8">
        <v>1.4258419200000001E-2</v>
      </c>
    </row>
    <row r="216" spans="1:5" x14ac:dyDescent="0.3">
      <c r="A216" s="5">
        <v>27</v>
      </c>
      <c r="B216" s="5" t="s">
        <v>72</v>
      </c>
      <c r="C216" s="5">
        <v>2</v>
      </c>
      <c r="D216" s="9">
        <v>100</v>
      </c>
      <c r="E216" s="6">
        <v>1.13597321E-2</v>
      </c>
    </row>
    <row r="217" spans="1:5" x14ac:dyDescent="0.3">
      <c r="A217" s="7">
        <v>27</v>
      </c>
      <c r="B217" s="7" t="s">
        <v>72</v>
      </c>
      <c r="C217" s="7">
        <v>3</v>
      </c>
      <c r="D217" s="10">
        <v>1000</v>
      </c>
      <c r="E217" s="8">
        <v>1.7637681799999999E-2</v>
      </c>
    </row>
    <row r="218" spans="1:5" x14ac:dyDescent="0.3">
      <c r="A218" s="5">
        <v>28</v>
      </c>
      <c r="B218" s="5" t="s">
        <v>73</v>
      </c>
      <c r="C218" s="5">
        <v>-4</v>
      </c>
      <c r="D218" s="9">
        <v>1E-4</v>
      </c>
      <c r="E218" s="6">
        <v>0.2402605069</v>
      </c>
    </row>
    <row r="219" spans="1:5" x14ac:dyDescent="0.3">
      <c r="A219" s="7">
        <v>28</v>
      </c>
      <c r="B219" s="7" t="s">
        <v>73</v>
      </c>
      <c r="C219" s="7">
        <v>-3</v>
      </c>
      <c r="D219" s="10">
        <v>1E-3</v>
      </c>
      <c r="E219" s="8">
        <v>0.59293668040000003</v>
      </c>
    </row>
    <row r="220" spans="1:5" x14ac:dyDescent="0.3">
      <c r="A220" s="5">
        <v>28</v>
      </c>
      <c r="B220" s="5" t="s">
        <v>73</v>
      </c>
      <c r="C220" s="5">
        <v>-2</v>
      </c>
      <c r="D220" s="9">
        <v>0.01</v>
      </c>
      <c r="E220" s="6">
        <v>0.95127424599999999</v>
      </c>
    </row>
    <row r="221" spans="1:5" x14ac:dyDescent="0.3">
      <c r="A221" s="7">
        <v>28</v>
      </c>
      <c r="B221" s="7" t="s">
        <v>73</v>
      </c>
      <c r="C221" s="7">
        <v>-1</v>
      </c>
      <c r="D221" s="10">
        <v>0.1</v>
      </c>
      <c r="E221" s="8">
        <v>0.82432347709999998</v>
      </c>
    </row>
    <row r="222" spans="1:5" x14ac:dyDescent="0.3">
      <c r="A222" s="5">
        <v>28</v>
      </c>
      <c r="B222" s="5" t="s">
        <v>73</v>
      </c>
      <c r="C222" s="5">
        <v>0</v>
      </c>
      <c r="D222" s="9">
        <v>1</v>
      </c>
      <c r="E222" s="6">
        <v>0.74619435540000001</v>
      </c>
    </row>
    <row r="223" spans="1:5" x14ac:dyDescent="0.3">
      <c r="A223" s="7">
        <v>28</v>
      </c>
      <c r="B223" s="7" t="s">
        <v>73</v>
      </c>
      <c r="C223" s="7">
        <v>1</v>
      </c>
      <c r="D223" s="10">
        <v>10</v>
      </c>
      <c r="E223" s="8">
        <v>0.73653969480000003</v>
      </c>
    </row>
    <row r="224" spans="1:5" x14ac:dyDescent="0.3">
      <c r="A224" s="5">
        <v>28</v>
      </c>
      <c r="B224" s="5" t="s">
        <v>73</v>
      </c>
      <c r="C224" s="5">
        <v>2</v>
      </c>
      <c r="D224" s="9">
        <v>100</v>
      </c>
      <c r="E224" s="6">
        <v>0.73529020040000004</v>
      </c>
    </row>
    <row r="225" spans="1:5" x14ac:dyDescent="0.3">
      <c r="A225" s="7">
        <v>28</v>
      </c>
      <c r="B225" s="7" t="s">
        <v>73</v>
      </c>
      <c r="C225" s="7">
        <v>3</v>
      </c>
      <c r="D225" s="10">
        <v>1000</v>
      </c>
      <c r="E225" s="8">
        <v>0.73631051820000004</v>
      </c>
    </row>
    <row r="226" spans="1:5" x14ac:dyDescent="0.3">
      <c r="A226" s="5">
        <v>29</v>
      </c>
      <c r="B226" s="5" t="s">
        <v>74</v>
      </c>
      <c r="C226" s="5">
        <v>-4</v>
      </c>
      <c r="D226" s="9">
        <v>1E-4</v>
      </c>
      <c r="E226" s="6">
        <v>0.67257746389999995</v>
      </c>
    </row>
    <row r="227" spans="1:5" x14ac:dyDescent="0.3">
      <c r="A227" s="7">
        <v>29</v>
      </c>
      <c r="B227" s="7" t="s">
        <v>74</v>
      </c>
      <c r="C227" s="7">
        <v>-3</v>
      </c>
      <c r="D227" s="10">
        <v>1E-3</v>
      </c>
      <c r="E227" s="8">
        <v>0.69804421139999995</v>
      </c>
    </row>
    <row r="228" spans="1:5" x14ac:dyDescent="0.3">
      <c r="A228" s="5">
        <v>29</v>
      </c>
      <c r="B228" s="5" t="s">
        <v>74</v>
      </c>
      <c r="C228" s="5">
        <v>-2</v>
      </c>
      <c r="D228" s="9">
        <v>0.01</v>
      </c>
      <c r="E228" s="6">
        <v>0.88521869119999996</v>
      </c>
    </row>
    <row r="229" spans="1:5" x14ac:dyDescent="0.3">
      <c r="A229" s="7">
        <v>29</v>
      </c>
      <c r="B229" s="7" t="s">
        <v>74</v>
      </c>
      <c r="C229" s="7">
        <v>-1</v>
      </c>
      <c r="D229" s="10">
        <v>0.1</v>
      </c>
      <c r="E229" s="8">
        <v>0.78314954739999998</v>
      </c>
    </row>
    <row r="230" spans="1:5" x14ac:dyDescent="0.3">
      <c r="A230" s="5">
        <v>29</v>
      </c>
      <c r="B230" s="5" t="s">
        <v>74</v>
      </c>
      <c r="C230" s="5">
        <v>0</v>
      </c>
      <c r="D230" s="9">
        <v>1</v>
      </c>
      <c r="E230" s="6">
        <v>0.63507332849999998</v>
      </c>
    </row>
    <row r="231" spans="1:5" x14ac:dyDescent="0.3">
      <c r="A231" s="7">
        <v>29</v>
      </c>
      <c r="B231" s="7" t="s">
        <v>74</v>
      </c>
      <c r="C231" s="7">
        <v>1</v>
      </c>
      <c r="D231" s="10">
        <v>10</v>
      </c>
      <c r="E231" s="8">
        <v>0.61096652610000002</v>
      </c>
    </row>
    <row r="232" spans="1:5" x14ac:dyDescent="0.3">
      <c r="A232" s="5">
        <v>29</v>
      </c>
      <c r="B232" s="5" t="s">
        <v>74</v>
      </c>
      <c r="C232" s="5">
        <v>2</v>
      </c>
      <c r="D232" s="9">
        <v>100</v>
      </c>
      <c r="E232" s="6">
        <v>0.61096652610000002</v>
      </c>
    </row>
    <row r="233" spans="1:5" x14ac:dyDescent="0.3">
      <c r="A233" s="7">
        <v>29</v>
      </c>
      <c r="B233" s="7" t="s">
        <v>74</v>
      </c>
      <c r="C233" s="7">
        <v>3</v>
      </c>
      <c r="D233" s="10">
        <v>1000</v>
      </c>
      <c r="E233" s="8">
        <v>0.61096652610000002</v>
      </c>
    </row>
    <row r="234" spans="1:5" x14ac:dyDescent="0.3">
      <c r="A234" s="5">
        <v>30</v>
      </c>
      <c r="B234" s="5" t="s">
        <v>75</v>
      </c>
      <c r="C234" s="5">
        <v>-4</v>
      </c>
      <c r="D234" s="9">
        <v>1E-4</v>
      </c>
      <c r="E234" s="6">
        <v>0.63695817030000002</v>
      </c>
    </row>
    <row r="235" spans="1:5" x14ac:dyDescent="0.3">
      <c r="A235" s="7">
        <v>30</v>
      </c>
      <c r="B235" s="7" t="s">
        <v>75</v>
      </c>
      <c r="C235" s="7">
        <v>-3</v>
      </c>
      <c r="D235" s="10">
        <v>1E-3</v>
      </c>
      <c r="E235" s="8">
        <v>0.79974509439999997</v>
      </c>
    </row>
    <row r="236" spans="1:5" x14ac:dyDescent="0.3">
      <c r="A236" s="5">
        <v>30</v>
      </c>
      <c r="B236" s="5" t="s">
        <v>75</v>
      </c>
      <c r="C236" s="5">
        <v>-2</v>
      </c>
      <c r="D236" s="9">
        <v>0.01</v>
      </c>
      <c r="E236" s="6">
        <v>0.43186298649999999</v>
      </c>
    </row>
    <row r="237" spans="1:5" x14ac:dyDescent="0.3">
      <c r="A237" s="7">
        <v>30</v>
      </c>
      <c r="B237" s="7" t="s">
        <v>75</v>
      </c>
      <c r="C237" s="7">
        <v>-1</v>
      </c>
      <c r="D237" s="10">
        <v>0.1</v>
      </c>
      <c r="E237" s="8">
        <v>-0.2218679861</v>
      </c>
    </row>
    <row r="238" spans="1:5" x14ac:dyDescent="0.3">
      <c r="A238" s="5">
        <v>30</v>
      </c>
      <c r="B238" s="5" t="s">
        <v>75</v>
      </c>
      <c r="C238" s="5">
        <v>0</v>
      </c>
      <c r="D238" s="9">
        <v>1</v>
      </c>
      <c r="E238" s="6">
        <v>-0.51912052740000003</v>
      </c>
    </row>
    <row r="239" spans="1:5" x14ac:dyDescent="0.3">
      <c r="A239" s="7">
        <v>30</v>
      </c>
      <c r="B239" s="7" t="s">
        <v>75</v>
      </c>
      <c r="C239" s="7">
        <v>1</v>
      </c>
      <c r="D239" s="10">
        <v>10</v>
      </c>
      <c r="E239" s="8">
        <v>-0.54337459340000005</v>
      </c>
    </row>
    <row r="240" spans="1:5" x14ac:dyDescent="0.3">
      <c r="A240" s="5">
        <v>30</v>
      </c>
      <c r="B240" s="5" t="s">
        <v>75</v>
      </c>
      <c r="C240" s="5">
        <v>2</v>
      </c>
      <c r="D240" s="9">
        <v>100</v>
      </c>
      <c r="E240" s="6">
        <v>-0.54576966039999997</v>
      </c>
    </row>
    <row r="241" spans="1:5" x14ac:dyDescent="0.3">
      <c r="A241" s="7">
        <v>30</v>
      </c>
      <c r="B241" s="7" t="s">
        <v>75</v>
      </c>
      <c r="C241" s="7">
        <v>3</v>
      </c>
      <c r="D241" s="10">
        <v>1000</v>
      </c>
      <c r="E241" s="8">
        <v>-0.54859583229999997</v>
      </c>
    </row>
    <row r="242" spans="1:5" x14ac:dyDescent="0.3">
      <c r="A242" s="5">
        <v>31</v>
      </c>
      <c r="B242" s="5" t="s">
        <v>76</v>
      </c>
      <c r="C242" s="5">
        <v>-4</v>
      </c>
      <c r="D242" s="9">
        <v>1E-4</v>
      </c>
      <c r="E242" s="6">
        <v>0.51831270659999995</v>
      </c>
    </row>
    <row r="243" spans="1:5" x14ac:dyDescent="0.3">
      <c r="A243" s="7">
        <v>31</v>
      </c>
      <c r="B243" s="7" t="s">
        <v>76</v>
      </c>
      <c r="C243" s="7">
        <v>-3</v>
      </c>
      <c r="D243" s="10">
        <v>1E-3</v>
      </c>
      <c r="E243" s="8">
        <v>0.63982856079999995</v>
      </c>
    </row>
    <row r="244" spans="1:5" x14ac:dyDescent="0.3">
      <c r="A244" s="5">
        <v>31</v>
      </c>
      <c r="B244" s="5" t="s">
        <v>76</v>
      </c>
      <c r="C244" s="5">
        <v>-2</v>
      </c>
      <c r="D244" s="9">
        <v>0.01</v>
      </c>
      <c r="E244" s="6">
        <v>0.86708728310000005</v>
      </c>
    </row>
    <row r="245" spans="1:5" x14ac:dyDescent="0.3">
      <c r="A245" s="7">
        <v>31</v>
      </c>
      <c r="B245" s="7" t="s">
        <v>76</v>
      </c>
      <c r="C245" s="7">
        <v>-1</v>
      </c>
      <c r="D245" s="10">
        <v>0.1</v>
      </c>
      <c r="E245" s="8">
        <v>0.77263679649999994</v>
      </c>
    </row>
    <row r="246" spans="1:5" x14ac:dyDescent="0.3">
      <c r="A246" s="5">
        <v>31</v>
      </c>
      <c r="B246" s="5" t="s">
        <v>76</v>
      </c>
      <c r="C246" s="5">
        <v>0</v>
      </c>
      <c r="D246" s="9">
        <v>1</v>
      </c>
      <c r="E246" s="6">
        <v>0.57177552359999995</v>
      </c>
    </row>
    <row r="247" spans="1:5" x14ac:dyDescent="0.3">
      <c r="A247" s="7">
        <v>31</v>
      </c>
      <c r="B247" s="7" t="s">
        <v>76</v>
      </c>
      <c r="C247" s="7">
        <v>1</v>
      </c>
      <c r="D247" s="10">
        <v>10</v>
      </c>
      <c r="E247" s="8">
        <v>0.55339458990000001</v>
      </c>
    </row>
    <row r="248" spans="1:5" x14ac:dyDescent="0.3">
      <c r="A248" s="5">
        <v>31</v>
      </c>
      <c r="B248" s="5" t="s">
        <v>76</v>
      </c>
      <c r="C248" s="5">
        <v>2</v>
      </c>
      <c r="D248" s="9">
        <v>100</v>
      </c>
      <c r="E248" s="6">
        <v>0.551190925</v>
      </c>
    </row>
    <row r="249" spans="1:5" x14ac:dyDescent="0.3">
      <c r="A249" s="7">
        <v>31</v>
      </c>
      <c r="B249" s="7" t="s">
        <v>76</v>
      </c>
      <c r="C249" s="7">
        <v>3</v>
      </c>
      <c r="D249" s="10">
        <v>1000</v>
      </c>
      <c r="E249" s="8">
        <v>0.55094431720000003</v>
      </c>
    </row>
    <row r="250" spans="1:5" x14ac:dyDescent="0.3">
      <c r="A250" s="5">
        <v>32</v>
      </c>
      <c r="B250" s="5" t="s">
        <v>77</v>
      </c>
      <c r="C250" s="5">
        <v>-4</v>
      </c>
      <c r="D250" s="9">
        <v>1E-4</v>
      </c>
      <c r="E250" s="6">
        <v>0.72253803350000001</v>
      </c>
    </row>
    <row r="251" spans="1:5" x14ac:dyDescent="0.3">
      <c r="A251" s="7">
        <v>32</v>
      </c>
      <c r="B251" s="7" t="s">
        <v>77</v>
      </c>
      <c r="C251" s="7">
        <v>-3</v>
      </c>
      <c r="D251" s="10">
        <v>1E-3</v>
      </c>
      <c r="E251" s="8">
        <v>0.70005528220000002</v>
      </c>
    </row>
    <row r="252" spans="1:5" x14ac:dyDescent="0.3">
      <c r="A252" s="5">
        <v>32</v>
      </c>
      <c r="B252" s="5" t="s">
        <v>77</v>
      </c>
      <c r="C252" s="5">
        <v>-2</v>
      </c>
      <c r="D252" s="9">
        <v>0.01</v>
      </c>
      <c r="E252" s="6">
        <v>0.48105430049999998</v>
      </c>
    </row>
    <row r="253" spans="1:5" x14ac:dyDescent="0.3">
      <c r="A253" s="7">
        <v>32</v>
      </c>
      <c r="B253" s="7" t="s">
        <v>77</v>
      </c>
      <c r="C253" s="7">
        <v>-1</v>
      </c>
      <c r="D253" s="10">
        <v>0.1</v>
      </c>
      <c r="E253" s="8">
        <v>-0.55773019290000003</v>
      </c>
    </row>
    <row r="254" spans="1:5" x14ac:dyDescent="0.3">
      <c r="A254" s="5">
        <v>32</v>
      </c>
      <c r="B254" s="5" t="s">
        <v>77</v>
      </c>
      <c r="C254" s="5">
        <v>0</v>
      </c>
      <c r="D254" s="9">
        <v>1</v>
      </c>
      <c r="E254" s="6">
        <v>-1.0032014094999999</v>
      </c>
    </row>
    <row r="255" spans="1:5" x14ac:dyDescent="0.3">
      <c r="A255" s="7">
        <v>32</v>
      </c>
      <c r="B255" s="7" t="s">
        <v>77</v>
      </c>
      <c r="C255" s="7">
        <v>1</v>
      </c>
      <c r="D255" s="10">
        <v>10</v>
      </c>
      <c r="E255" s="8">
        <v>-1.03115727</v>
      </c>
    </row>
    <row r="256" spans="1:5" x14ac:dyDescent="0.3">
      <c r="A256" s="5">
        <v>32</v>
      </c>
      <c r="B256" s="5" t="s">
        <v>77</v>
      </c>
      <c r="C256" s="5">
        <v>2</v>
      </c>
      <c r="D256" s="9">
        <v>100</v>
      </c>
      <c r="E256" s="6">
        <v>-1.03115727</v>
      </c>
    </row>
    <row r="257" spans="1:5" x14ac:dyDescent="0.3">
      <c r="A257" s="7">
        <v>32</v>
      </c>
      <c r="B257" s="7" t="s">
        <v>77</v>
      </c>
      <c r="C257" s="7">
        <v>3</v>
      </c>
      <c r="D257" s="10">
        <v>1000</v>
      </c>
      <c r="E257" s="8">
        <v>-1.03115727</v>
      </c>
    </row>
    <row r="258" spans="1:5" x14ac:dyDescent="0.3">
      <c r="A258" s="5">
        <v>33</v>
      </c>
      <c r="B258" s="5" t="s">
        <v>78</v>
      </c>
      <c r="C258" s="5">
        <v>-4</v>
      </c>
      <c r="D258" s="9">
        <v>1E-4</v>
      </c>
      <c r="E258" s="6">
        <v>0.43567464480000001</v>
      </c>
    </row>
    <row r="259" spans="1:5" x14ac:dyDescent="0.3">
      <c r="A259" s="7">
        <v>33</v>
      </c>
      <c r="B259" s="7" t="s">
        <v>78</v>
      </c>
      <c r="C259" s="7">
        <v>-3</v>
      </c>
      <c r="D259" s="10">
        <v>1E-3</v>
      </c>
      <c r="E259" s="8">
        <v>0.65821364650000003</v>
      </c>
    </row>
    <row r="260" spans="1:5" x14ac:dyDescent="0.3">
      <c r="A260" s="5">
        <v>33</v>
      </c>
      <c r="B260" s="5" t="s">
        <v>78</v>
      </c>
      <c r="C260" s="5">
        <v>-2</v>
      </c>
      <c r="D260" s="9">
        <v>0.01</v>
      </c>
      <c r="E260" s="6">
        <v>0.67808558129999996</v>
      </c>
    </row>
    <row r="261" spans="1:5" x14ac:dyDescent="0.3">
      <c r="A261" s="7">
        <v>33</v>
      </c>
      <c r="B261" s="7" t="s">
        <v>78</v>
      </c>
      <c r="C261" s="7">
        <v>-1</v>
      </c>
      <c r="D261" s="10">
        <v>0.1</v>
      </c>
      <c r="E261" s="8">
        <v>0.24091090609999999</v>
      </c>
    </row>
    <row r="262" spans="1:5" x14ac:dyDescent="0.3">
      <c r="A262" s="5">
        <v>33</v>
      </c>
      <c r="B262" s="5" t="s">
        <v>78</v>
      </c>
      <c r="C262" s="5">
        <v>0</v>
      </c>
      <c r="D262" s="9">
        <v>1</v>
      </c>
      <c r="E262" s="6">
        <v>-6.9766612000000006E-2</v>
      </c>
    </row>
    <row r="263" spans="1:5" x14ac:dyDescent="0.3">
      <c r="A263" s="7">
        <v>33</v>
      </c>
      <c r="B263" s="7" t="s">
        <v>78</v>
      </c>
      <c r="C263" s="7">
        <v>1</v>
      </c>
      <c r="D263" s="10">
        <v>10</v>
      </c>
      <c r="E263" s="8">
        <v>-0.13871231010000001</v>
      </c>
    </row>
    <row r="264" spans="1:5" x14ac:dyDescent="0.3">
      <c r="A264" s="5">
        <v>33</v>
      </c>
      <c r="B264" s="5" t="s">
        <v>78</v>
      </c>
      <c r="C264" s="5">
        <v>2</v>
      </c>
      <c r="D264" s="9">
        <v>100</v>
      </c>
      <c r="E264" s="6">
        <v>-0.16802215109999999</v>
      </c>
    </row>
    <row r="265" spans="1:5" x14ac:dyDescent="0.3">
      <c r="A265" s="7">
        <v>33</v>
      </c>
      <c r="B265" s="7" t="s">
        <v>78</v>
      </c>
      <c r="C265" s="7">
        <v>3</v>
      </c>
      <c r="D265" s="10">
        <v>1000</v>
      </c>
      <c r="E265" s="8">
        <v>-0.16190147660000001</v>
      </c>
    </row>
    <row r="266" spans="1:5" x14ac:dyDescent="0.3">
      <c r="A266" s="5">
        <v>34</v>
      </c>
      <c r="B266" s="5" t="s">
        <v>79</v>
      </c>
      <c r="C266" s="5">
        <v>-4</v>
      </c>
      <c r="D266" s="9">
        <v>1E-4</v>
      </c>
      <c r="E266" s="6">
        <v>0.48875596049999998</v>
      </c>
    </row>
    <row r="267" spans="1:5" x14ac:dyDescent="0.3">
      <c r="A267" s="7">
        <v>34</v>
      </c>
      <c r="B267" s="7" t="s">
        <v>79</v>
      </c>
      <c r="C267" s="7">
        <v>-3</v>
      </c>
      <c r="D267" s="10">
        <v>1E-3</v>
      </c>
      <c r="E267" s="8">
        <v>0.66772659079999996</v>
      </c>
    </row>
    <row r="268" spans="1:5" x14ac:dyDescent="0.3">
      <c r="A268" s="5">
        <v>34</v>
      </c>
      <c r="B268" s="5" t="s">
        <v>79</v>
      </c>
      <c r="C268" s="5">
        <v>-2</v>
      </c>
      <c r="D268" s="9">
        <v>0.01</v>
      </c>
      <c r="E268" s="6">
        <v>0.79591540650000003</v>
      </c>
    </row>
    <row r="269" spans="1:5" x14ac:dyDescent="0.3">
      <c r="A269" s="7">
        <v>34</v>
      </c>
      <c r="B269" s="7" t="s">
        <v>79</v>
      </c>
      <c r="C269" s="7">
        <v>-1</v>
      </c>
      <c r="D269" s="10">
        <v>0.1</v>
      </c>
      <c r="E269" s="8">
        <v>0.66246922149999998</v>
      </c>
    </row>
    <row r="270" spans="1:5" x14ac:dyDescent="0.3">
      <c r="A270" s="5">
        <v>34</v>
      </c>
      <c r="B270" s="5" t="s">
        <v>79</v>
      </c>
      <c r="C270" s="5">
        <v>0</v>
      </c>
      <c r="D270" s="9">
        <v>1</v>
      </c>
      <c r="E270" s="6">
        <v>0.61017600620000001</v>
      </c>
    </row>
    <row r="271" spans="1:5" x14ac:dyDescent="0.3">
      <c r="A271" s="7">
        <v>34</v>
      </c>
      <c r="B271" s="7" t="s">
        <v>79</v>
      </c>
      <c r="C271" s="7">
        <v>1</v>
      </c>
      <c r="D271" s="10">
        <v>10</v>
      </c>
      <c r="E271" s="8">
        <v>0.59264640570000005</v>
      </c>
    </row>
    <row r="272" spans="1:5" x14ac:dyDescent="0.3">
      <c r="A272" s="5">
        <v>34</v>
      </c>
      <c r="B272" s="5" t="s">
        <v>79</v>
      </c>
      <c r="C272" s="5">
        <v>2</v>
      </c>
      <c r="D272" s="9">
        <v>100</v>
      </c>
      <c r="E272" s="6">
        <v>0.60829785069999998</v>
      </c>
    </row>
    <row r="273" spans="1:5" x14ac:dyDescent="0.3">
      <c r="A273" s="7">
        <v>34</v>
      </c>
      <c r="B273" s="7" t="s">
        <v>79</v>
      </c>
      <c r="C273" s="7">
        <v>3</v>
      </c>
      <c r="D273" s="10">
        <v>1000</v>
      </c>
      <c r="E273" s="8">
        <v>0.60784694429999997</v>
      </c>
    </row>
    <row r="274" spans="1:5" x14ac:dyDescent="0.3">
      <c r="A274" s="5">
        <v>35</v>
      </c>
      <c r="B274" s="5" t="s">
        <v>80</v>
      </c>
      <c r="C274" s="5">
        <v>-4</v>
      </c>
      <c r="D274" s="9">
        <v>1E-4</v>
      </c>
      <c r="E274" s="6">
        <v>0.30268691530000003</v>
      </c>
    </row>
    <row r="275" spans="1:5" x14ac:dyDescent="0.3">
      <c r="A275" s="7">
        <v>35</v>
      </c>
      <c r="B275" s="7" t="s">
        <v>80</v>
      </c>
      <c r="C275" s="7">
        <v>-3</v>
      </c>
      <c r="D275" s="10">
        <v>1E-3</v>
      </c>
      <c r="E275" s="8">
        <v>0.52356411960000004</v>
      </c>
    </row>
    <row r="276" spans="1:5" x14ac:dyDescent="0.3">
      <c r="A276" s="5">
        <v>35</v>
      </c>
      <c r="B276" s="5" t="s">
        <v>80</v>
      </c>
      <c r="C276" s="5">
        <v>-2</v>
      </c>
      <c r="D276" s="9">
        <v>0.01</v>
      </c>
      <c r="E276" s="6">
        <v>0.86777819089999997</v>
      </c>
    </row>
    <row r="277" spans="1:5" x14ac:dyDescent="0.3">
      <c r="A277" s="7">
        <v>35</v>
      </c>
      <c r="B277" s="7" t="s">
        <v>80</v>
      </c>
      <c r="C277" s="7">
        <v>-1</v>
      </c>
      <c r="D277" s="10">
        <v>0.1</v>
      </c>
      <c r="E277" s="8">
        <v>0.78904645620000002</v>
      </c>
    </row>
    <row r="278" spans="1:5" x14ac:dyDescent="0.3">
      <c r="A278" s="5">
        <v>35</v>
      </c>
      <c r="B278" s="5" t="s">
        <v>80</v>
      </c>
      <c r="C278" s="5">
        <v>0</v>
      </c>
      <c r="D278" s="9">
        <v>1</v>
      </c>
      <c r="E278" s="6">
        <v>0.74365588849999997</v>
      </c>
    </row>
    <row r="279" spans="1:5" x14ac:dyDescent="0.3">
      <c r="A279" s="7">
        <v>35</v>
      </c>
      <c r="B279" s="7" t="s">
        <v>80</v>
      </c>
      <c r="C279" s="7">
        <v>1</v>
      </c>
      <c r="D279" s="10">
        <v>10</v>
      </c>
      <c r="E279" s="8">
        <v>0.73799884640000002</v>
      </c>
    </row>
    <row r="280" spans="1:5" x14ac:dyDescent="0.3">
      <c r="A280" s="5">
        <v>35</v>
      </c>
      <c r="B280" s="5" t="s">
        <v>80</v>
      </c>
      <c r="C280" s="5">
        <v>2</v>
      </c>
      <c r="D280" s="9">
        <v>100</v>
      </c>
      <c r="E280" s="6">
        <v>0.73766855949999999</v>
      </c>
    </row>
    <row r="281" spans="1:5" x14ac:dyDescent="0.3">
      <c r="A281" s="7">
        <v>35</v>
      </c>
      <c r="B281" s="7" t="s">
        <v>80</v>
      </c>
      <c r="C281" s="7">
        <v>3</v>
      </c>
      <c r="D281" s="10">
        <v>1000</v>
      </c>
      <c r="E281" s="8">
        <v>0.73758659969999996</v>
      </c>
    </row>
    <row r="282" spans="1:5" x14ac:dyDescent="0.3">
      <c r="A282" s="5">
        <v>36</v>
      </c>
      <c r="B282" s="5" t="s">
        <v>81</v>
      </c>
      <c r="C282" s="5">
        <v>-4</v>
      </c>
      <c r="D282" s="9">
        <v>1E-4</v>
      </c>
      <c r="E282" s="6">
        <v>0.3230046822</v>
      </c>
    </row>
    <row r="283" spans="1:5" x14ac:dyDescent="0.3">
      <c r="A283" s="7">
        <v>36</v>
      </c>
      <c r="B283" s="7" t="s">
        <v>81</v>
      </c>
      <c r="C283" s="7">
        <v>-3</v>
      </c>
      <c r="D283" s="10">
        <v>1E-3</v>
      </c>
      <c r="E283" s="8">
        <v>0.81152100640000002</v>
      </c>
    </row>
    <row r="284" spans="1:5" x14ac:dyDescent="0.3">
      <c r="A284" s="5">
        <v>36</v>
      </c>
      <c r="B284" s="5" t="s">
        <v>81</v>
      </c>
      <c r="C284" s="5">
        <v>-2</v>
      </c>
      <c r="D284" s="9">
        <v>0.01</v>
      </c>
      <c r="E284" s="6">
        <v>0.83588503920000001</v>
      </c>
    </row>
    <row r="285" spans="1:5" x14ac:dyDescent="0.3">
      <c r="A285" s="7">
        <v>36</v>
      </c>
      <c r="B285" s="7" t="s">
        <v>81</v>
      </c>
      <c r="C285" s="7">
        <v>-1</v>
      </c>
      <c r="D285" s="10">
        <v>0.1</v>
      </c>
      <c r="E285" s="8">
        <v>0.67809126060000002</v>
      </c>
    </row>
    <row r="286" spans="1:5" x14ac:dyDescent="0.3">
      <c r="A286" s="5">
        <v>36</v>
      </c>
      <c r="B286" s="5" t="s">
        <v>81</v>
      </c>
      <c r="C286" s="5">
        <v>0</v>
      </c>
      <c r="D286" s="9">
        <v>1</v>
      </c>
      <c r="E286" s="6">
        <v>0.61128376360000003</v>
      </c>
    </row>
    <row r="287" spans="1:5" x14ac:dyDescent="0.3">
      <c r="A287" s="7">
        <v>36</v>
      </c>
      <c r="B287" s="7" t="s">
        <v>81</v>
      </c>
      <c r="C287" s="7">
        <v>1</v>
      </c>
      <c r="D287" s="10">
        <v>10</v>
      </c>
      <c r="E287" s="8">
        <v>0.60163276669999999</v>
      </c>
    </row>
    <row r="288" spans="1:5" x14ac:dyDescent="0.3">
      <c r="A288" s="5">
        <v>36</v>
      </c>
      <c r="B288" s="5" t="s">
        <v>81</v>
      </c>
      <c r="C288" s="5">
        <v>2</v>
      </c>
      <c r="D288" s="9">
        <v>100</v>
      </c>
      <c r="E288" s="6">
        <v>0.60350290870000001</v>
      </c>
    </row>
    <row r="289" spans="1:5" x14ac:dyDescent="0.3">
      <c r="A289" s="7">
        <v>36</v>
      </c>
      <c r="B289" s="7" t="s">
        <v>81</v>
      </c>
      <c r="C289" s="7">
        <v>3</v>
      </c>
      <c r="D289" s="10">
        <v>1000</v>
      </c>
      <c r="E289" s="8">
        <v>0.60265898309999999</v>
      </c>
    </row>
    <row r="290" spans="1:5" x14ac:dyDescent="0.3">
      <c r="A290" s="5">
        <v>37</v>
      </c>
      <c r="B290" s="5" t="s">
        <v>82</v>
      </c>
      <c r="C290" s="5">
        <v>-4</v>
      </c>
      <c r="D290" s="9">
        <v>1E-4</v>
      </c>
      <c r="E290" s="6">
        <v>0.28436582640000002</v>
      </c>
    </row>
    <row r="291" spans="1:5" x14ac:dyDescent="0.3">
      <c r="A291" s="7">
        <v>37</v>
      </c>
      <c r="B291" s="7" t="s">
        <v>82</v>
      </c>
      <c r="C291" s="7">
        <v>-3</v>
      </c>
      <c r="D291" s="10">
        <v>1E-3</v>
      </c>
      <c r="E291" s="8">
        <v>0.53145687779999995</v>
      </c>
    </row>
    <row r="292" spans="1:5" x14ac:dyDescent="0.3">
      <c r="A292" s="5">
        <v>37</v>
      </c>
      <c r="B292" s="5" t="s">
        <v>82</v>
      </c>
      <c r="C292" s="5">
        <v>-2</v>
      </c>
      <c r="D292" s="9">
        <v>0.01</v>
      </c>
      <c r="E292" s="6">
        <v>0.89868699210000003</v>
      </c>
    </row>
    <row r="293" spans="1:5" x14ac:dyDescent="0.3">
      <c r="A293" s="7">
        <v>37</v>
      </c>
      <c r="B293" s="7" t="s">
        <v>82</v>
      </c>
      <c r="C293" s="7">
        <v>-1</v>
      </c>
      <c r="D293" s="10">
        <v>0.1</v>
      </c>
      <c r="E293" s="8">
        <v>0.65068534170000003</v>
      </c>
    </row>
    <row r="294" spans="1:5" x14ac:dyDescent="0.3">
      <c r="A294" s="5">
        <v>37</v>
      </c>
      <c r="B294" s="5" t="s">
        <v>82</v>
      </c>
      <c r="C294" s="5">
        <v>0</v>
      </c>
      <c r="D294" s="9">
        <v>1</v>
      </c>
      <c r="E294" s="6">
        <v>0.41684832570000002</v>
      </c>
    </row>
    <row r="295" spans="1:5" x14ac:dyDescent="0.3">
      <c r="A295" s="7">
        <v>37</v>
      </c>
      <c r="B295" s="7" t="s">
        <v>82</v>
      </c>
      <c r="C295" s="7">
        <v>1</v>
      </c>
      <c r="D295" s="10">
        <v>10</v>
      </c>
      <c r="E295" s="8">
        <v>0.39710055220000001</v>
      </c>
    </row>
    <row r="296" spans="1:5" x14ac:dyDescent="0.3">
      <c r="A296" s="5">
        <v>37</v>
      </c>
      <c r="B296" s="5" t="s">
        <v>82</v>
      </c>
      <c r="C296" s="5">
        <v>2</v>
      </c>
      <c r="D296" s="9">
        <v>100</v>
      </c>
      <c r="E296" s="6">
        <v>0.39727720789999998</v>
      </c>
    </row>
    <row r="297" spans="1:5" x14ac:dyDescent="0.3">
      <c r="A297" s="7">
        <v>37</v>
      </c>
      <c r="B297" s="7" t="s">
        <v>82</v>
      </c>
      <c r="C297" s="7">
        <v>3</v>
      </c>
      <c r="D297" s="10">
        <v>1000</v>
      </c>
      <c r="E297" s="8">
        <v>0.41031050499999999</v>
      </c>
    </row>
    <row r="298" spans="1:5" x14ac:dyDescent="0.3">
      <c r="A298" s="5">
        <v>38</v>
      </c>
      <c r="B298" s="5" t="s">
        <v>83</v>
      </c>
      <c r="C298" s="5">
        <v>-4</v>
      </c>
      <c r="D298" s="9">
        <v>1E-4</v>
      </c>
      <c r="E298" s="6">
        <v>0.2328796148</v>
      </c>
    </row>
    <row r="299" spans="1:5" x14ac:dyDescent="0.3">
      <c r="A299" s="7">
        <v>38</v>
      </c>
      <c r="B299" s="7" t="s">
        <v>83</v>
      </c>
      <c r="C299" s="7">
        <v>-3</v>
      </c>
      <c r="D299" s="10">
        <v>1E-3</v>
      </c>
      <c r="E299" s="8">
        <v>0.3941124057</v>
      </c>
    </row>
    <row r="300" spans="1:5" x14ac:dyDescent="0.3">
      <c r="A300" s="5">
        <v>38</v>
      </c>
      <c r="B300" s="5" t="s">
        <v>83</v>
      </c>
      <c r="C300" s="5">
        <v>-2</v>
      </c>
      <c r="D300" s="9">
        <v>0.01</v>
      </c>
      <c r="E300" s="6">
        <v>0.87735007190000003</v>
      </c>
    </row>
    <row r="301" spans="1:5" x14ac:dyDescent="0.3">
      <c r="A301" s="7">
        <v>38</v>
      </c>
      <c r="B301" s="7" t="s">
        <v>83</v>
      </c>
      <c r="C301" s="7">
        <v>-1</v>
      </c>
      <c r="D301" s="10">
        <v>0.1</v>
      </c>
      <c r="E301" s="8">
        <v>0.94613251060000003</v>
      </c>
    </row>
    <row r="302" spans="1:5" x14ac:dyDescent="0.3">
      <c r="A302" s="5">
        <v>38</v>
      </c>
      <c r="B302" s="5" t="s">
        <v>83</v>
      </c>
      <c r="C302" s="5">
        <v>0</v>
      </c>
      <c r="D302" s="9">
        <v>1</v>
      </c>
      <c r="E302" s="6">
        <v>0.86349551560000004</v>
      </c>
    </row>
    <row r="303" spans="1:5" x14ac:dyDescent="0.3">
      <c r="A303" s="7">
        <v>38</v>
      </c>
      <c r="B303" s="7" t="s">
        <v>83</v>
      </c>
      <c r="C303" s="7">
        <v>1</v>
      </c>
      <c r="D303" s="10">
        <v>10</v>
      </c>
      <c r="E303" s="8">
        <v>0.85027562379999999</v>
      </c>
    </row>
    <row r="304" spans="1:5" x14ac:dyDescent="0.3">
      <c r="A304" s="5">
        <v>38</v>
      </c>
      <c r="B304" s="5" t="s">
        <v>83</v>
      </c>
      <c r="C304" s="5">
        <v>2</v>
      </c>
      <c r="D304" s="9">
        <v>100</v>
      </c>
      <c r="E304" s="6">
        <v>0.85066815559999998</v>
      </c>
    </row>
    <row r="305" spans="1:5" x14ac:dyDescent="0.3">
      <c r="A305" s="7">
        <v>38</v>
      </c>
      <c r="B305" s="7" t="s">
        <v>83</v>
      </c>
      <c r="C305" s="7">
        <v>3</v>
      </c>
      <c r="D305" s="10">
        <v>1000</v>
      </c>
      <c r="E305" s="8">
        <v>0.85019410230000003</v>
      </c>
    </row>
    <row r="306" spans="1:5" x14ac:dyDescent="0.3">
      <c r="A306" s="5">
        <v>39</v>
      </c>
      <c r="B306" s="5" t="s">
        <v>84</v>
      </c>
      <c r="C306" s="5">
        <v>-4</v>
      </c>
      <c r="D306" s="9">
        <v>1E-4</v>
      </c>
      <c r="E306" s="6">
        <v>0.31625457820000002</v>
      </c>
    </row>
    <row r="307" spans="1:5" x14ac:dyDescent="0.3">
      <c r="A307" s="7">
        <v>39</v>
      </c>
      <c r="B307" s="7" t="s">
        <v>84</v>
      </c>
      <c r="C307" s="7">
        <v>-3</v>
      </c>
      <c r="D307" s="10">
        <v>1E-3</v>
      </c>
      <c r="E307" s="8">
        <v>0.57052786929999999</v>
      </c>
    </row>
    <row r="308" spans="1:5" x14ac:dyDescent="0.3">
      <c r="A308" s="5">
        <v>39</v>
      </c>
      <c r="B308" s="5" t="s">
        <v>84</v>
      </c>
      <c r="C308" s="5">
        <v>-2</v>
      </c>
      <c r="D308" s="9">
        <v>0.01</v>
      </c>
      <c r="E308" s="6">
        <v>0.72068813710000001</v>
      </c>
    </row>
    <row r="309" spans="1:5" x14ac:dyDescent="0.3">
      <c r="A309" s="7">
        <v>39</v>
      </c>
      <c r="B309" s="7" t="s">
        <v>84</v>
      </c>
      <c r="C309" s="7">
        <v>-1</v>
      </c>
      <c r="D309" s="10">
        <v>0.1</v>
      </c>
      <c r="E309" s="8">
        <v>0.63320147739999999</v>
      </c>
    </row>
    <row r="310" spans="1:5" x14ac:dyDescent="0.3">
      <c r="A310" s="5">
        <v>39</v>
      </c>
      <c r="B310" s="5" t="s">
        <v>84</v>
      </c>
      <c r="C310" s="5">
        <v>0</v>
      </c>
      <c r="D310" s="9">
        <v>1</v>
      </c>
      <c r="E310" s="6">
        <v>0.55548483459999998</v>
      </c>
    </row>
    <row r="311" spans="1:5" x14ac:dyDescent="0.3">
      <c r="A311" s="7">
        <v>39</v>
      </c>
      <c r="B311" s="7" t="s">
        <v>84</v>
      </c>
      <c r="C311" s="7">
        <v>1</v>
      </c>
      <c r="D311" s="10">
        <v>10</v>
      </c>
      <c r="E311" s="8">
        <v>0.54573793530000003</v>
      </c>
    </row>
    <row r="312" spans="1:5" x14ac:dyDescent="0.3">
      <c r="A312" s="5">
        <v>39</v>
      </c>
      <c r="B312" s="5" t="s">
        <v>84</v>
      </c>
      <c r="C312" s="5">
        <v>2</v>
      </c>
      <c r="D312" s="9">
        <v>100</v>
      </c>
      <c r="E312" s="6">
        <v>0.54623530949999999</v>
      </c>
    </row>
    <row r="313" spans="1:5" x14ac:dyDescent="0.3">
      <c r="A313" s="7">
        <v>39</v>
      </c>
      <c r="B313" s="7" t="s">
        <v>84</v>
      </c>
      <c r="C313" s="7">
        <v>3</v>
      </c>
      <c r="D313" s="10">
        <v>1000</v>
      </c>
      <c r="E313" s="8">
        <v>0.54625677569999997</v>
      </c>
    </row>
    <row r="314" spans="1:5" x14ac:dyDescent="0.3">
      <c r="A314" s="5">
        <v>40</v>
      </c>
      <c r="B314" s="5" t="s">
        <v>85</v>
      </c>
      <c r="C314" s="5">
        <v>-4</v>
      </c>
      <c r="D314" s="9">
        <v>1E-4</v>
      </c>
      <c r="E314" s="6">
        <v>0.43000832909999998</v>
      </c>
    </row>
    <row r="315" spans="1:5" x14ac:dyDescent="0.3">
      <c r="A315" s="7">
        <v>40</v>
      </c>
      <c r="B315" s="7" t="s">
        <v>85</v>
      </c>
      <c r="C315" s="7">
        <v>-3</v>
      </c>
      <c r="D315" s="10">
        <v>1E-3</v>
      </c>
      <c r="E315" s="8">
        <v>0.57897496169999996</v>
      </c>
    </row>
    <row r="316" spans="1:5" x14ac:dyDescent="0.3">
      <c r="A316" s="5">
        <v>40</v>
      </c>
      <c r="B316" s="5" t="s">
        <v>85</v>
      </c>
      <c r="C316" s="5">
        <v>-2</v>
      </c>
      <c r="D316" s="9">
        <v>0.01</v>
      </c>
      <c r="E316" s="6">
        <v>0.89719259790000006</v>
      </c>
    </row>
    <row r="317" spans="1:5" x14ac:dyDescent="0.3">
      <c r="A317" s="7">
        <v>40</v>
      </c>
      <c r="B317" s="7" t="s">
        <v>85</v>
      </c>
      <c r="C317" s="7">
        <v>-1</v>
      </c>
      <c r="D317" s="10">
        <v>0.1</v>
      </c>
      <c r="E317" s="8">
        <v>0.87288209859999999</v>
      </c>
    </row>
    <row r="318" spans="1:5" x14ac:dyDescent="0.3">
      <c r="A318" s="5">
        <v>40</v>
      </c>
      <c r="B318" s="5" t="s">
        <v>85</v>
      </c>
      <c r="C318" s="5">
        <v>0</v>
      </c>
      <c r="D318" s="9">
        <v>1</v>
      </c>
      <c r="E318" s="6">
        <v>0.83014858309999995</v>
      </c>
    </row>
    <row r="319" spans="1:5" x14ac:dyDescent="0.3">
      <c r="A319" s="7">
        <v>40</v>
      </c>
      <c r="B319" s="7" t="s">
        <v>85</v>
      </c>
      <c r="C319" s="7">
        <v>1</v>
      </c>
      <c r="D319" s="10">
        <v>10</v>
      </c>
      <c r="E319" s="8">
        <v>0.82208291789999999</v>
      </c>
    </row>
    <row r="320" spans="1:5" x14ac:dyDescent="0.3">
      <c r="A320" s="5">
        <v>40</v>
      </c>
      <c r="B320" s="5" t="s">
        <v>85</v>
      </c>
      <c r="C320" s="5">
        <v>2</v>
      </c>
      <c r="D320" s="9">
        <v>100</v>
      </c>
      <c r="E320" s="6">
        <v>0.82196954590000004</v>
      </c>
    </row>
    <row r="321" spans="1:5" x14ac:dyDescent="0.3">
      <c r="A321" s="7">
        <v>40</v>
      </c>
      <c r="B321" s="7" t="s">
        <v>85</v>
      </c>
      <c r="C321" s="7">
        <v>3</v>
      </c>
      <c r="D321" s="10">
        <v>1000</v>
      </c>
      <c r="E321" s="8">
        <v>0.82204538520000003</v>
      </c>
    </row>
    <row r="322" spans="1:5" x14ac:dyDescent="0.3">
      <c r="A322" s="5">
        <v>41</v>
      </c>
      <c r="B322" s="5" t="s">
        <v>86</v>
      </c>
      <c r="C322" s="5">
        <v>-4</v>
      </c>
      <c r="D322" s="9">
        <v>1E-4</v>
      </c>
      <c r="E322" s="6">
        <v>0.47055321659999999</v>
      </c>
    </row>
    <row r="323" spans="1:5" x14ac:dyDescent="0.3">
      <c r="A323" s="7">
        <v>41</v>
      </c>
      <c r="B323" s="7" t="s">
        <v>86</v>
      </c>
      <c r="C323" s="7">
        <v>-3</v>
      </c>
      <c r="D323" s="10">
        <v>1E-3</v>
      </c>
      <c r="E323" s="8">
        <v>0.57461372879999995</v>
      </c>
    </row>
    <row r="324" spans="1:5" x14ac:dyDescent="0.3">
      <c r="A324" s="5">
        <v>41</v>
      </c>
      <c r="B324" s="5" t="s">
        <v>86</v>
      </c>
      <c r="C324" s="5">
        <v>-2</v>
      </c>
      <c r="D324" s="9">
        <v>0.01</v>
      </c>
      <c r="E324" s="6">
        <v>0.88802499930000001</v>
      </c>
    </row>
    <row r="325" spans="1:5" x14ac:dyDescent="0.3">
      <c r="A325" s="7">
        <v>41</v>
      </c>
      <c r="B325" s="7" t="s">
        <v>86</v>
      </c>
      <c r="C325" s="7">
        <v>-1</v>
      </c>
      <c r="D325" s="10">
        <v>0.1</v>
      </c>
      <c r="E325" s="8">
        <v>0.93313494720000001</v>
      </c>
    </row>
    <row r="326" spans="1:5" x14ac:dyDescent="0.3">
      <c r="A326" s="5">
        <v>41</v>
      </c>
      <c r="B326" s="5" t="s">
        <v>86</v>
      </c>
      <c r="C326" s="5">
        <v>0</v>
      </c>
      <c r="D326" s="9">
        <v>1</v>
      </c>
      <c r="E326" s="6">
        <v>0.86097854080000003</v>
      </c>
    </row>
    <row r="327" spans="1:5" x14ac:dyDescent="0.3">
      <c r="A327" s="7">
        <v>41</v>
      </c>
      <c r="B327" s="7" t="s">
        <v>86</v>
      </c>
      <c r="C327" s="7">
        <v>1</v>
      </c>
      <c r="D327" s="10">
        <v>10</v>
      </c>
      <c r="E327" s="8">
        <v>0.85007113609999996</v>
      </c>
    </row>
    <row r="328" spans="1:5" x14ac:dyDescent="0.3">
      <c r="A328" s="5">
        <v>41</v>
      </c>
      <c r="B328" s="5" t="s">
        <v>86</v>
      </c>
      <c r="C328" s="5">
        <v>2</v>
      </c>
      <c r="D328" s="9">
        <v>100</v>
      </c>
      <c r="E328" s="6">
        <v>0.85003206549999999</v>
      </c>
    </row>
    <row r="329" spans="1:5" x14ac:dyDescent="0.3">
      <c r="A329" s="7">
        <v>41</v>
      </c>
      <c r="B329" s="7" t="s">
        <v>86</v>
      </c>
      <c r="C329" s="7">
        <v>3</v>
      </c>
      <c r="D329" s="10">
        <v>1000</v>
      </c>
      <c r="E329" s="8">
        <v>0.85007074149999995</v>
      </c>
    </row>
    <row r="330" spans="1:5" x14ac:dyDescent="0.3">
      <c r="A330" s="5">
        <v>42</v>
      </c>
      <c r="B330" s="5" t="s">
        <v>87</v>
      </c>
      <c r="C330" s="5">
        <v>-4</v>
      </c>
      <c r="D330" s="9">
        <v>1E-4</v>
      </c>
      <c r="E330" s="6">
        <v>0.81943243239999997</v>
      </c>
    </row>
    <row r="331" spans="1:5" x14ac:dyDescent="0.3">
      <c r="A331" s="7">
        <v>42</v>
      </c>
      <c r="B331" s="7" t="s">
        <v>87</v>
      </c>
      <c r="C331" s="7">
        <v>-3</v>
      </c>
      <c r="D331" s="10">
        <v>1E-3</v>
      </c>
      <c r="E331" s="8">
        <v>0.84109395249999996</v>
      </c>
    </row>
    <row r="332" spans="1:5" x14ac:dyDescent="0.3">
      <c r="A332" s="5">
        <v>42</v>
      </c>
      <c r="B332" s="5" t="s">
        <v>87</v>
      </c>
      <c r="C332" s="5">
        <v>-2</v>
      </c>
      <c r="D332" s="9">
        <v>0.01</v>
      </c>
      <c r="E332" s="6">
        <v>0.72457374519999995</v>
      </c>
    </row>
    <row r="333" spans="1:5" x14ac:dyDescent="0.3">
      <c r="A333" s="7">
        <v>42</v>
      </c>
      <c r="B333" s="7" t="s">
        <v>87</v>
      </c>
      <c r="C333" s="7">
        <v>-1</v>
      </c>
      <c r="D333" s="10">
        <v>0.1</v>
      </c>
      <c r="E333" s="8">
        <v>6.5348993300000005E-2</v>
      </c>
    </row>
    <row r="334" spans="1:5" x14ac:dyDescent="0.3">
      <c r="A334" s="5">
        <v>42</v>
      </c>
      <c r="B334" s="5" t="s">
        <v>87</v>
      </c>
      <c r="C334" s="5">
        <v>0</v>
      </c>
      <c r="D334" s="9">
        <v>1</v>
      </c>
      <c r="E334" s="6">
        <v>-0.86101234569999996</v>
      </c>
    </row>
    <row r="335" spans="1:5" x14ac:dyDescent="0.3">
      <c r="A335" s="7">
        <v>42</v>
      </c>
      <c r="B335" s="7" t="s">
        <v>87</v>
      </c>
      <c r="C335" s="7">
        <v>1</v>
      </c>
      <c r="D335" s="10">
        <v>10</v>
      </c>
      <c r="E335" s="8">
        <v>-0.90946502060000001</v>
      </c>
    </row>
    <row r="336" spans="1:5" x14ac:dyDescent="0.3">
      <c r="A336" s="5">
        <v>42</v>
      </c>
      <c r="B336" s="5" t="s">
        <v>87</v>
      </c>
      <c r="C336" s="5">
        <v>2</v>
      </c>
      <c r="D336" s="9">
        <v>100</v>
      </c>
      <c r="E336" s="6">
        <v>-0.90946502060000001</v>
      </c>
    </row>
    <row r="337" spans="1:5" x14ac:dyDescent="0.3">
      <c r="A337" s="7">
        <v>42</v>
      </c>
      <c r="B337" s="7" t="s">
        <v>87</v>
      </c>
      <c r="C337" s="7">
        <v>3</v>
      </c>
      <c r="D337" s="10">
        <v>1000</v>
      </c>
      <c r="E337" s="8">
        <v>-0.90946502060000001</v>
      </c>
    </row>
    <row r="338" spans="1:5" x14ac:dyDescent="0.3">
      <c r="A338" s="5">
        <v>43</v>
      </c>
      <c r="B338" s="5" t="s">
        <v>88</v>
      </c>
      <c r="C338" s="5">
        <v>-4</v>
      </c>
      <c r="D338" s="9">
        <v>1E-4</v>
      </c>
      <c r="E338" s="6">
        <v>0.54125243040000004</v>
      </c>
    </row>
    <row r="339" spans="1:5" x14ac:dyDescent="0.3">
      <c r="A339" s="7">
        <v>43</v>
      </c>
      <c r="B339" s="7" t="s">
        <v>88</v>
      </c>
      <c r="C339" s="7">
        <v>-3</v>
      </c>
      <c r="D339" s="10">
        <v>1E-3</v>
      </c>
      <c r="E339" s="8">
        <v>0.6530724295</v>
      </c>
    </row>
    <row r="340" spans="1:5" x14ac:dyDescent="0.3">
      <c r="A340" s="5">
        <v>43</v>
      </c>
      <c r="B340" s="5" t="s">
        <v>88</v>
      </c>
      <c r="C340" s="5">
        <v>-2</v>
      </c>
      <c r="D340" s="9">
        <v>0.01</v>
      </c>
      <c r="E340" s="6">
        <v>0.62143697480000004</v>
      </c>
    </row>
    <row r="341" spans="1:5" x14ac:dyDescent="0.3">
      <c r="A341" s="7">
        <v>43</v>
      </c>
      <c r="B341" s="7" t="s">
        <v>88</v>
      </c>
      <c r="C341" s="7">
        <v>-1</v>
      </c>
      <c r="D341" s="10">
        <v>0.1</v>
      </c>
      <c r="E341" s="8">
        <v>0.60427226889999996</v>
      </c>
    </row>
    <row r="342" spans="1:5" x14ac:dyDescent="0.3">
      <c r="A342" s="5">
        <v>43</v>
      </c>
      <c r="B342" s="5" t="s">
        <v>88</v>
      </c>
      <c r="C342" s="5">
        <v>0</v>
      </c>
      <c r="D342" s="9">
        <v>1</v>
      </c>
      <c r="E342" s="6">
        <v>0.52432927169999999</v>
      </c>
    </row>
    <row r="343" spans="1:5" x14ac:dyDescent="0.3">
      <c r="A343" s="7">
        <v>43</v>
      </c>
      <c r="B343" s="7" t="s">
        <v>88</v>
      </c>
      <c r="C343" s="7">
        <v>1</v>
      </c>
      <c r="D343" s="10">
        <v>10</v>
      </c>
      <c r="E343" s="8">
        <v>0.5227235294</v>
      </c>
    </row>
    <row r="344" spans="1:5" x14ac:dyDescent="0.3">
      <c r="A344" s="5">
        <v>43</v>
      </c>
      <c r="B344" s="5" t="s">
        <v>88</v>
      </c>
      <c r="C344" s="5">
        <v>2</v>
      </c>
      <c r="D344" s="9">
        <v>100</v>
      </c>
      <c r="E344" s="6">
        <v>0.52318151260000001</v>
      </c>
    </row>
    <row r="345" spans="1:5" x14ac:dyDescent="0.3">
      <c r="A345" s="7">
        <v>43</v>
      </c>
      <c r="B345" s="7" t="s">
        <v>88</v>
      </c>
      <c r="C345" s="7">
        <v>3</v>
      </c>
      <c r="D345" s="10">
        <v>1000</v>
      </c>
      <c r="E345" s="8">
        <v>0.52510308120000004</v>
      </c>
    </row>
    <row r="346" spans="1:5" x14ac:dyDescent="0.3">
      <c r="A346" s="5">
        <v>44</v>
      </c>
      <c r="B346" s="5" t="s">
        <v>89</v>
      </c>
      <c r="C346" s="5">
        <v>-4</v>
      </c>
      <c r="D346" s="9">
        <v>1E-4</v>
      </c>
      <c r="E346" s="6">
        <v>0.3875678562</v>
      </c>
    </row>
    <row r="347" spans="1:5" x14ac:dyDescent="0.3">
      <c r="A347" s="7">
        <v>44</v>
      </c>
      <c r="B347" s="7" t="s">
        <v>89</v>
      </c>
      <c r="C347" s="7">
        <v>-3</v>
      </c>
      <c r="D347" s="10">
        <v>1E-3</v>
      </c>
      <c r="E347" s="8">
        <v>0.68142533100000002</v>
      </c>
    </row>
    <row r="348" spans="1:5" x14ac:dyDescent="0.3">
      <c r="A348" s="5">
        <v>44</v>
      </c>
      <c r="B348" s="5" t="s">
        <v>89</v>
      </c>
      <c r="C348" s="5">
        <v>-2</v>
      </c>
      <c r="D348" s="9">
        <v>0.01</v>
      </c>
      <c r="E348" s="6">
        <v>0.77733366969999995</v>
      </c>
    </row>
    <row r="349" spans="1:5" x14ac:dyDescent="0.3">
      <c r="A349" s="7">
        <v>44</v>
      </c>
      <c r="B349" s="7" t="s">
        <v>89</v>
      </c>
      <c r="C349" s="7">
        <v>-1</v>
      </c>
      <c r="D349" s="10">
        <v>0.1</v>
      </c>
      <c r="E349" s="8">
        <v>0.35536481289999999</v>
      </c>
    </row>
    <row r="350" spans="1:5" x14ac:dyDescent="0.3">
      <c r="A350" s="5">
        <v>44</v>
      </c>
      <c r="B350" s="5" t="s">
        <v>89</v>
      </c>
      <c r="C350" s="5">
        <v>0</v>
      </c>
      <c r="D350" s="9">
        <v>1</v>
      </c>
      <c r="E350" s="6">
        <v>0.19024818969999999</v>
      </c>
    </row>
    <row r="351" spans="1:5" x14ac:dyDescent="0.3">
      <c r="A351" s="7">
        <v>44</v>
      </c>
      <c r="B351" s="7" t="s">
        <v>89</v>
      </c>
      <c r="C351" s="7">
        <v>1</v>
      </c>
      <c r="D351" s="10">
        <v>10</v>
      </c>
      <c r="E351" s="8">
        <v>0.1727439966</v>
      </c>
    </row>
    <row r="352" spans="1:5" x14ac:dyDescent="0.3">
      <c r="A352" s="5">
        <v>44</v>
      </c>
      <c r="B352" s="5" t="s">
        <v>89</v>
      </c>
      <c r="C352" s="5">
        <v>2</v>
      </c>
      <c r="D352" s="9">
        <v>100</v>
      </c>
      <c r="E352" s="6">
        <v>0.17308381589999999</v>
      </c>
    </row>
    <row r="353" spans="1:5" x14ac:dyDescent="0.3">
      <c r="A353" s="7">
        <v>44</v>
      </c>
      <c r="B353" s="7" t="s">
        <v>89</v>
      </c>
      <c r="C353" s="7">
        <v>3</v>
      </c>
      <c r="D353" s="10">
        <v>1000</v>
      </c>
      <c r="E353" s="8">
        <v>0.17551855899999999</v>
      </c>
    </row>
    <row r="354" spans="1:5" x14ac:dyDescent="0.3">
      <c r="A354" s="5">
        <v>45</v>
      </c>
      <c r="B354" s="5" t="s">
        <v>90</v>
      </c>
      <c r="C354" s="5">
        <v>-4</v>
      </c>
      <c r="D354" s="9">
        <v>1E-4</v>
      </c>
      <c r="E354" s="6">
        <v>0.36542236680000001</v>
      </c>
    </row>
    <row r="355" spans="1:5" x14ac:dyDescent="0.3">
      <c r="A355" s="7">
        <v>45</v>
      </c>
      <c r="B355" s="7" t="s">
        <v>90</v>
      </c>
      <c r="C355" s="7">
        <v>-3</v>
      </c>
      <c r="D355" s="10">
        <v>1E-3</v>
      </c>
      <c r="E355" s="8">
        <v>0.76696952220000003</v>
      </c>
    </row>
    <row r="356" spans="1:5" x14ac:dyDescent="0.3">
      <c r="A356" s="5">
        <v>45</v>
      </c>
      <c r="B356" s="5" t="s">
        <v>90</v>
      </c>
      <c r="C356" s="5">
        <v>-2</v>
      </c>
      <c r="D356" s="9">
        <v>0.01</v>
      </c>
      <c r="E356" s="6">
        <v>0.61137398489999994</v>
      </c>
    </row>
    <row r="357" spans="1:5" x14ac:dyDescent="0.3">
      <c r="A357" s="7">
        <v>45</v>
      </c>
      <c r="B357" s="7" t="s">
        <v>90</v>
      </c>
      <c r="C357" s="7">
        <v>-1</v>
      </c>
      <c r="D357" s="10">
        <v>0.1</v>
      </c>
      <c r="E357" s="8">
        <v>0.25554152029999999</v>
      </c>
    </row>
    <row r="358" spans="1:5" x14ac:dyDescent="0.3">
      <c r="A358" s="5">
        <v>45</v>
      </c>
      <c r="B358" s="5" t="s">
        <v>90</v>
      </c>
      <c r="C358" s="5">
        <v>0</v>
      </c>
      <c r="D358" s="9">
        <v>1</v>
      </c>
      <c r="E358" s="6">
        <v>0.1205263957</v>
      </c>
    </row>
    <row r="359" spans="1:5" x14ac:dyDescent="0.3">
      <c r="A359" s="7">
        <v>45</v>
      </c>
      <c r="B359" s="7" t="s">
        <v>90</v>
      </c>
      <c r="C359" s="7">
        <v>1</v>
      </c>
      <c r="D359" s="10">
        <v>10</v>
      </c>
      <c r="E359" s="8">
        <v>0.1122244315</v>
      </c>
    </row>
    <row r="360" spans="1:5" x14ac:dyDescent="0.3">
      <c r="A360" s="5">
        <v>45</v>
      </c>
      <c r="B360" s="5" t="s">
        <v>90</v>
      </c>
      <c r="C360" s="5">
        <v>2</v>
      </c>
      <c r="D360" s="9">
        <v>100</v>
      </c>
      <c r="E360" s="6">
        <v>0.1147942954</v>
      </c>
    </row>
    <row r="361" spans="1:5" x14ac:dyDescent="0.3">
      <c r="A361" s="7">
        <v>45</v>
      </c>
      <c r="B361" s="7" t="s">
        <v>90</v>
      </c>
      <c r="C361" s="7">
        <v>3</v>
      </c>
      <c r="D361" s="10">
        <v>1000</v>
      </c>
      <c r="E361" s="8">
        <v>0.1101336681</v>
      </c>
    </row>
    <row r="362" spans="1:5" x14ac:dyDescent="0.3">
      <c r="A362" s="5">
        <v>46</v>
      </c>
      <c r="B362" s="5" t="s">
        <v>91</v>
      </c>
      <c r="C362" s="5">
        <v>-4</v>
      </c>
      <c r="D362" s="9">
        <v>1E-4</v>
      </c>
      <c r="E362" s="6">
        <v>0.46721558699999999</v>
      </c>
    </row>
    <row r="363" spans="1:5" x14ac:dyDescent="0.3">
      <c r="A363" s="7">
        <v>46</v>
      </c>
      <c r="B363" s="7" t="s">
        <v>91</v>
      </c>
      <c r="C363" s="7">
        <v>-3</v>
      </c>
      <c r="D363" s="10">
        <v>1E-3</v>
      </c>
      <c r="E363" s="8">
        <v>0.70404938240000003</v>
      </c>
    </row>
    <row r="364" spans="1:5" x14ac:dyDescent="0.3">
      <c r="A364" s="5">
        <v>46</v>
      </c>
      <c r="B364" s="5" t="s">
        <v>91</v>
      </c>
      <c r="C364" s="5">
        <v>-2</v>
      </c>
      <c r="D364" s="9">
        <v>0.01</v>
      </c>
      <c r="E364" s="6">
        <v>0.87233403269999998</v>
      </c>
    </row>
    <row r="365" spans="1:5" x14ac:dyDescent="0.3">
      <c r="A365" s="7">
        <v>46</v>
      </c>
      <c r="B365" s="7" t="s">
        <v>91</v>
      </c>
      <c r="C365" s="7">
        <v>-1</v>
      </c>
      <c r="D365" s="10">
        <v>0.1</v>
      </c>
      <c r="E365" s="8">
        <v>0.29590447860000002</v>
      </c>
    </row>
    <row r="366" spans="1:5" x14ac:dyDescent="0.3">
      <c r="A366" s="5">
        <v>46</v>
      </c>
      <c r="B366" s="5" t="s">
        <v>91</v>
      </c>
      <c r="C366" s="5">
        <v>0</v>
      </c>
      <c r="D366" s="9">
        <v>1</v>
      </c>
      <c r="E366" s="6">
        <v>8.2591956300000005E-2</v>
      </c>
    </row>
    <row r="367" spans="1:5" x14ac:dyDescent="0.3">
      <c r="A367" s="7">
        <v>46</v>
      </c>
      <c r="B367" s="7" t="s">
        <v>91</v>
      </c>
      <c r="C367" s="7">
        <v>1</v>
      </c>
      <c r="D367" s="10">
        <v>10</v>
      </c>
      <c r="E367" s="8">
        <v>6.8436451800000006E-2</v>
      </c>
    </row>
    <row r="368" spans="1:5" x14ac:dyDescent="0.3">
      <c r="A368" s="5">
        <v>46</v>
      </c>
      <c r="B368" s="5" t="s">
        <v>91</v>
      </c>
      <c r="C368" s="5">
        <v>2</v>
      </c>
      <c r="D368" s="9">
        <v>100</v>
      </c>
      <c r="E368" s="6">
        <v>6.7166804100000005E-2</v>
      </c>
    </row>
    <row r="369" spans="1:5" x14ac:dyDescent="0.3">
      <c r="A369" s="7">
        <v>46</v>
      </c>
      <c r="B369" s="7" t="s">
        <v>91</v>
      </c>
      <c r="C369" s="7">
        <v>3</v>
      </c>
      <c r="D369" s="10">
        <v>1000</v>
      </c>
      <c r="E369" s="8">
        <v>6.4509748899999997E-2</v>
      </c>
    </row>
    <row r="370" spans="1:5" x14ac:dyDescent="0.3">
      <c r="A370" s="5">
        <v>47</v>
      </c>
      <c r="B370" s="5" t="s">
        <v>92</v>
      </c>
      <c r="C370" s="5">
        <v>-4</v>
      </c>
      <c r="D370" s="9">
        <v>1E-4</v>
      </c>
      <c r="E370" s="6">
        <v>0.51144029209999997</v>
      </c>
    </row>
    <row r="371" spans="1:5" x14ac:dyDescent="0.3">
      <c r="A371" s="7">
        <v>47</v>
      </c>
      <c r="B371" s="7" t="s">
        <v>92</v>
      </c>
      <c r="C371" s="7">
        <v>-3</v>
      </c>
      <c r="D371" s="10">
        <v>1E-3</v>
      </c>
      <c r="E371" s="8">
        <v>0.52491765020000003</v>
      </c>
    </row>
    <row r="372" spans="1:5" x14ac:dyDescent="0.3">
      <c r="A372" s="5">
        <v>47</v>
      </c>
      <c r="B372" s="5" t="s">
        <v>92</v>
      </c>
      <c r="C372" s="5">
        <v>-2</v>
      </c>
      <c r="D372" s="9">
        <v>0.01</v>
      </c>
      <c r="E372" s="6">
        <v>0.85259014850000003</v>
      </c>
    </row>
    <row r="373" spans="1:5" x14ac:dyDescent="0.3">
      <c r="A373" s="7">
        <v>47</v>
      </c>
      <c r="B373" s="7" t="s">
        <v>92</v>
      </c>
      <c r="C373" s="7">
        <v>-1</v>
      </c>
      <c r="D373" s="10">
        <v>0.1</v>
      </c>
      <c r="E373" s="8">
        <v>0.71384579390000003</v>
      </c>
    </row>
    <row r="374" spans="1:5" x14ac:dyDescent="0.3">
      <c r="A374" s="5">
        <v>47</v>
      </c>
      <c r="B374" s="5" t="s">
        <v>92</v>
      </c>
      <c r="C374" s="5">
        <v>0</v>
      </c>
      <c r="D374" s="9">
        <v>1</v>
      </c>
      <c r="E374" s="6">
        <v>0.60871885979999996</v>
      </c>
    </row>
    <row r="375" spans="1:5" x14ac:dyDescent="0.3">
      <c r="A375" s="7">
        <v>47</v>
      </c>
      <c r="B375" s="7" t="s">
        <v>92</v>
      </c>
      <c r="C375" s="7">
        <v>1</v>
      </c>
      <c r="D375" s="10">
        <v>10</v>
      </c>
      <c r="E375" s="8">
        <v>0.60270270270000004</v>
      </c>
    </row>
    <row r="376" spans="1:5" x14ac:dyDescent="0.3">
      <c r="A376" s="5">
        <v>47</v>
      </c>
      <c r="B376" s="5" t="s">
        <v>92</v>
      </c>
      <c r="C376" s="5">
        <v>2</v>
      </c>
      <c r="D376" s="9">
        <v>100</v>
      </c>
      <c r="E376" s="6">
        <v>0.60294977199999999</v>
      </c>
    </row>
    <row r="377" spans="1:5" x14ac:dyDescent="0.3">
      <c r="A377" s="7">
        <v>47</v>
      </c>
      <c r="B377" s="7" t="s">
        <v>92</v>
      </c>
      <c r="C377" s="7">
        <v>3</v>
      </c>
      <c r="D377" s="10">
        <v>1000</v>
      </c>
      <c r="E377" s="8">
        <v>0.60286782940000005</v>
      </c>
    </row>
    <row r="378" spans="1:5" x14ac:dyDescent="0.3">
      <c r="A378" s="5">
        <v>48</v>
      </c>
      <c r="B378" s="5" t="s">
        <v>93</v>
      </c>
      <c r="C378" s="5">
        <v>-4</v>
      </c>
      <c r="D378" s="9">
        <v>1E-4</v>
      </c>
      <c r="E378" s="6">
        <v>0.28615878890000002</v>
      </c>
    </row>
    <row r="379" spans="1:5" x14ac:dyDescent="0.3">
      <c r="A379" s="7">
        <v>48</v>
      </c>
      <c r="B379" s="7" t="s">
        <v>93</v>
      </c>
      <c r="C379" s="7">
        <v>-3</v>
      </c>
      <c r="D379" s="10">
        <v>1E-3</v>
      </c>
      <c r="E379" s="8">
        <v>0.51502255649999995</v>
      </c>
    </row>
    <row r="380" spans="1:5" x14ac:dyDescent="0.3">
      <c r="A380" s="5">
        <v>48</v>
      </c>
      <c r="B380" s="5" t="s">
        <v>93</v>
      </c>
      <c r="C380" s="5">
        <v>-2</v>
      </c>
      <c r="D380" s="9">
        <v>0.01</v>
      </c>
      <c r="E380" s="6">
        <v>0.93166766109999999</v>
      </c>
    </row>
    <row r="381" spans="1:5" x14ac:dyDescent="0.3">
      <c r="A381" s="7">
        <v>48</v>
      </c>
      <c r="B381" s="7" t="s">
        <v>93</v>
      </c>
      <c r="C381" s="7">
        <v>-1</v>
      </c>
      <c r="D381" s="10">
        <v>0.1</v>
      </c>
      <c r="E381" s="8">
        <v>0.70206840240000001</v>
      </c>
    </row>
    <row r="382" spans="1:5" x14ac:dyDescent="0.3">
      <c r="A382" s="5">
        <v>48</v>
      </c>
      <c r="B382" s="5" t="s">
        <v>93</v>
      </c>
      <c r="C382" s="5">
        <v>0</v>
      </c>
      <c r="D382" s="9">
        <v>1</v>
      </c>
      <c r="E382" s="6">
        <v>0.57931105169999997</v>
      </c>
    </row>
    <row r="383" spans="1:5" x14ac:dyDescent="0.3">
      <c r="A383" s="7">
        <v>48</v>
      </c>
      <c r="B383" s="7" t="s">
        <v>93</v>
      </c>
      <c r="C383" s="7">
        <v>1</v>
      </c>
      <c r="D383" s="10">
        <v>10</v>
      </c>
      <c r="E383" s="8">
        <v>0.56536473919999997</v>
      </c>
    </row>
    <row r="384" spans="1:5" x14ac:dyDescent="0.3">
      <c r="A384" s="5">
        <v>48</v>
      </c>
      <c r="B384" s="5" t="s">
        <v>93</v>
      </c>
      <c r="C384" s="5">
        <v>2</v>
      </c>
      <c r="D384" s="9">
        <v>100</v>
      </c>
      <c r="E384" s="6">
        <v>0.56674908580000005</v>
      </c>
    </row>
    <row r="385" spans="1:5" x14ac:dyDescent="0.3">
      <c r="A385" s="7">
        <v>48</v>
      </c>
      <c r="B385" s="7" t="s">
        <v>93</v>
      </c>
      <c r="C385" s="7">
        <v>3</v>
      </c>
      <c r="D385" s="10">
        <v>1000</v>
      </c>
      <c r="E385" s="8">
        <v>0.56866278790000002</v>
      </c>
    </row>
    <row r="386" spans="1:5" x14ac:dyDescent="0.3">
      <c r="A386" s="5">
        <v>49</v>
      </c>
      <c r="B386" s="5" t="s">
        <v>94</v>
      </c>
      <c r="C386" s="5">
        <v>-4</v>
      </c>
      <c r="D386" s="9">
        <v>1E-4</v>
      </c>
      <c r="E386" s="6">
        <v>0.3717102733</v>
      </c>
    </row>
    <row r="387" spans="1:5" x14ac:dyDescent="0.3">
      <c r="A387" s="7">
        <v>49</v>
      </c>
      <c r="B387" s="7" t="s">
        <v>94</v>
      </c>
      <c r="C387" s="7">
        <v>-3</v>
      </c>
      <c r="D387" s="10">
        <v>1E-3</v>
      </c>
      <c r="E387" s="8">
        <v>0.62155043919999997</v>
      </c>
    </row>
    <row r="388" spans="1:5" x14ac:dyDescent="0.3">
      <c r="A388" s="5">
        <v>49</v>
      </c>
      <c r="B388" s="5" t="s">
        <v>94</v>
      </c>
      <c r="C388" s="5">
        <v>-2</v>
      </c>
      <c r="D388" s="9">
        <v>0.01</v>
      </c>
      <c r="E388" s="6">
        <v>1.03880985E-2</v>
      </c>
    </row>
    <row r="389" spans="1:5" x14ac:dyDescent="0.3">
      <c r="A389" s="7">
        <v>49</v>
      </c>
      <c r="B389" s="7" t="s">
        <v>94</v>
      </c>
      <c r="C389" s="7">
        <v>-1</v>
      </c>
      <c r="D389" s="10">
        <v>0.1</v>
      </c>
      <c r="E389" s="8">
        <v>-0.9595939188</v>
      </c>
    </row>
    <row r="390" spans="1:5" x14ac:dyDescent="0.3">
      <c r="A390" s="5">
        <v>49</v>
      </c>
      <c r="B390" s="5" t="s">
        <v>94</v>
      </c>
      <c r="C390" s="5">
        <v>0</v>
      </c>
      <c r="D390" s="9">
        <v>1</v>
      </c>
      <c r="E390" s="6">
        <v>-1.1259065909999999</v>
      </c>
    </row>
    <row r="391" spans="1:5" x14ac:dyDescent="0.3">
      <c r="A391" s="7">
        <v>49</v>
      </c>
      <c r="B391" s="7" t="s">
        <v>94</v>
      </c>
      <c r="C391" s="7">
        <v>1</v>
      </c>
      <c r="D391" s="10">
        <v>10</v>
      </c>
      <c r="E391" s="8">
        <v>-1.1394463316000001</v>
      </c>
    </row>
    <row r="392" spans="1:5" x14ac:dyDescent="0.3">
      <c r="A392" s="5">
        <v>49</v>
      </c>
      <c r="B392" s="5" t="s">
        <v>94</v>
      </c>
      <c r="C392" s="5">
        <v>2</v>
      </c>
      <c r="D392" s="9">
        <v>100</v>
      </c>
      <c r="E392" s="6">
        <v>-1.1342781094000001</v>
      </c>
    </row>
    <row r="393" spans="1:5" x14ac:dyDescent="0.3">
      <c r="A393" s="7">
        <v>49</v>
      </c>
      <c r="B393" s="7" t="s">
        <v>94</v>
      </c>
      <c r="C393" s="7">
        <v>3</v>
      </c>
      <c r="D393" s="10">
        <v>1000</v>
      </c>
      <c r="E393" s="8">
        <v>-1.1354551241999999</v>
      </c>
    </row>
    <row r="394" spans="1:5" x14ac:dyDescent="0.3">
      <c r="A394" s="5">
        <v>50</v>
      </c>
      <c r="B394" s="5" t="s">
        <v>95</v>
      </c>
      <c r="C394" s="5">
        <v>-4</v>
      </c>
      <c r="D394" s="9">
        <v>1E-4</v>
      </c>
      <c r="E394" s="6">
        <v>0.366465286</v>
      </c>
    </row>
    <row r="395" spans="1:5" x14ac:dyDescent="0.3">
      <c r="A395" s="7">
        <v>50</v>
      </c>
      <c r="B395" s="7" t="s">
        <v>95</v>
      </c>
      <c r="C395" s="7">
        <v>-3</v>
      </c>
      <c r="D395" s="10">
        <v>1E-3</v>
      </c>
      <c r="E395" s="8">
        <v>0.53381707680000001</v>
      </c>
    </row>
    <row r="396" spans="1:5" x14ac:dyDescent="0.3">
      <c r="A396" s="5">
        <v>50</v>
      </c>
      <c r="B396" s="5" t="s">
        <v>95</v>
      </c>
      <c r="C396" s="5">
        <v>-2</v>
      </c>
      <c r="D396" s="9">
        <v>0.01</v>
      </c>
      <c r="E396" s="6">
        <v>0.81225920910000005</v>
      </c>
    </row>
    <row r="397" spans="1:5" x14ac:dyDescent="0.3">
      <c r="A397" s="7">
        <v>50</v>
      </c>
      <c r="B397" s="7" t="s">
        <v>95</v>
      </c>
      <c r="C397" s="7">
        <v>-1</v>
      </c>
      <c r="D397" s="10">
        <v>0.1</v>
      </c>
      <c r="E397" s="8">
        <v>0.34774879180000001</v>
      </c>
    </row>
    <row r="398" spans="1:5" x14ac:dyDescent="0.3">
      <c r="A398" s="5">
        <v>50</v>
      </c>
      <c r="B398" s="5" t="s">
        <v>95</v>
      </c>
      <c r="C398" s="5">
        <v>0</v>
      </c>
      <c r="D398" s="9">
        <v>1</v>
      </c>
      <c r="E398" s="6">
        <v>0.13254476309999999</v>
      </c>
    </row>
    <row r="399" spans="1:5" x14ac:dyDescent="0.3">
      <c r="A399" s="7">
        <v>50</v>
      </c>
      <c r="B399" s="7" t="s">
        <v>95</v>
      </c>
      <c r="C399" s="7">
        <v>1</v>
      </c>
      <c r="D399" s="10">
        <v>10</v>
      </c>
      <c r="E399" s="8">
        <v>0.12116431630000001</v>
      </c>
    </row>
    <row r="400" spans="1:5" x14ac:dyDescent="0.3">
      <c r="A400" s="5">
        <v>50</v>
      </c>
      <c r="B400" s="5" t="s">
        <v>95</v>
      </c>
      <c r="C400" s="5">
        <v>2</v>
      </c>
      <c r="D400" s="9">
        <v>100</v>
      </c>
      <c r="E400" s="6">
        <v>0.1190207574</v>
      </c>
    </row>
    <row r="401" spans="1:5" x14ac:dyDescent="0.3">
      <c r="A401" s="7">
        <v>50</v>
      </c>
      <c r="B401" s="7" t="s">
        <v>95</v>
      </c>
      <c r="C401" s="7">
        <v>3</v>
      </c>
      <c r="D401" s="10">
        <v>1000</v>
      </c>
      <c r="E401" s="8">
        <v>0.1195138647</v>
      </c>
    </row>
    <row r="402" spans="1:5" x14ac:dyDescent="0.3">
      <c r="A402" s="5">
        <v>51</v>
      </c>
      <c r="B402" s="5" t="s">
        <v>96</v>
      </c>
      <c r="C402" s="5">
        <v>-4</v>
      </c>
      <c r="D402" s="9">
        <v>1E-4</v>
      </c>
      <c r="E402" s="6">
        <v>0.7088407524</v>
      </c>
    </row>
    <row r="403" spans="1:5" x14ac:dyDescent="0.3">
      <c r="A403" s="7">
        <v>51</v>
      </c>
      <c r="B403" s="7" t="s">
        <v>96</v>
      </c>
      <c r="C403" s="7">
        <v>-3</v>
      </c>
      <c r="D403" s="10">
        <v>1E-3</v>
      </c>
      <c r="E403" s="8">
        <v>0.76456728380000005</v>
      </c>
    </row>
    <row r="404" spans="1:5" x14ac:dyDescent="0.3">
      <c r="A404" s="5">
        <v>51</v>
      </c>
      <c r="B404" s="5" t="s">
        <v>96</v>
      </c>
      <c r="C404" s="5">
        <v>-2</v>
      </c>
      <c r="D404" s="9">
        <v>0.01</v>
      </c>
      <c r="E404" s="6">
        <v>0.78472364620000001</v>
      </c>
    </row>
    <row r="405" spans="1:5" x14ac:dyDescent="0.3">
      <c r="A405" s="7">
        <v>51</v>
      </c>
      <c r="B405" s="7" t="s">
        <v>96</v>
      </c>
      <c r="C405" s="7">
        <v>-1</v>
      </c>
      <c r="D405" s="10">
        <v>0.1</v>
      </c>
      <c r="E405" s="8">
        <v>0.73006653399999999</v>
      </c>
    </row>
    <row r="406" spans="1:5" x14ac:dyDescent="0.3">
      <c r="A406" s="5">
        <v>51</v>
      </c>
      <c r="B406" s="5" t="s">
        <v>96</v>
      </c>
      <c r="C406" s="5">
        <v>0</v>
      </c>
      <c r="D406" s="9">
        <v>1</v>
      </c>
      <c r="E406" s="6">
        <v>0.62205316610000005</v>
      </c>
    </row>
    <row r="407" spans="1:5" x14ac:dyDescent="0.3">
      <c r="A407" s="7">
        <v>51</v>
      </c>
      <c r="B407" s="7" t="s">
        <v>96</v>
      </c>
      <c r="C407" s="7">
        <v>1</v>
      </c>
      <c r="D407" s="10">
        <v>10</v>
      </c>
      <c r="E407" s="8">
        <v>0.60673949270000005</v>
      </c>
    </row>
    <row r="408" spans="1:5" x14ac:dyDescent="0.3">
      <c r="A408" s="5">
        <v>51</v>
      </c>
      <c r="B408" s="5" t="s">
        <v>96</v>
      </c>
      <c r="C408" s="5">
        <v>2</v>
      </c>
      <c r="D408" s="9">
        <v>100</v>
      </c>
      <c r="E408" s="6">
        <v>0.60673949270000005</v>
      </c>
    </row>
    <row r="409" spans="1:5" x14ac:dyDescent="0.3">
      <c r="A409" s="7">
        <v>51</v>
      </c>
      <c r="B409" s="7" t="s">
        <v>96</v>
      </c>
      <c r="C409" s="7">
        <v>3</v>
      </c>
      <c r="D409" s="10">
        <v>1000</v>
      </c>
      <c r="E409" s="8">
        <v>0.60673949270000005</v>
      </c>
    </row>
    <row r="410" spans="1:5" x14ac:dyDescent="0.3">
      <c r="A410" s="5">
        <v>52</v>
      </c>
      <c r="B410" s="5" t="s">
        <v>97</v>
      </c>
      <c r="C410" s="5">
        <v>-4</v>
      </c>
      <c r="D410" s="9">
        <v>1E-4</v>
      </c>
      <c r="E410" s="6">
        <v>0.27597349989999997</v>
      </c>
    </row>
    <row r="411" spans="1:5" x14ac:dyDescent="0.3">
      <c r="A411" s="7">
        <v>52</v>
      </c>
      <c r="B411" s="7" t="s">
        <v>97</v>
      </c>
      <c r="C411" s="7">
        <v>-3</v>
      </c>
      <c r="D411" s="10">
        <v>1E-3</v>
      </c>
      <c r="E411" s="8">
        <v>0.59726425780000003</v>
      </c>
    </row>
    <row r="412" spans="1:5" x14ac:dyDescent="0.3">
      <c r="A412" s="5">
        <v>52</v>
      </c>
      <c r="B412" s="5" t="s">
        <v>97</v>
      </c>
      <c r="C412" s="5">
        <v>-2</v>
      </c>
      <c r="D412" s="9">
        <v>0.01</v>
      </c>
      <c r="E412" s="6">
        <v>-0.3843449686</v>
      </c>
    </row>
    <row r="413" spans="1:5" x14ac:dyDescent="0.3">
      <c r="A413" s="7">
        <v>52</v>
      </c>
      <c r="B413" s="7" t="s">
        <v>97</v>
      </c>
      <c r="C413" s="7">
        <v>-1</v>
      </c>
      <c r="D413" s="10">
        <v>0.1</v>
      </c>
      <c r="E413" s="8">
        <v>-0.95444699249999998</v>
      </c>
    </row>
    <row r="414" spans="1:5" x14ac:dyDescent="0.3">
      <c r="A414" s="5">
        <v>52</v>
      </c>
      <c r="B414" s="5" t="s">
        <v>97</v>
      </c>
      <c r="C414" s="5">
        <v>0</v>
      </c>
      <c r="D414" s="9">
        <v>1</v>
      </c>
      <c r="E414" s="6">
        <v>-1.0760935335999999</v>
      </c>
    </row>
    <row r="415" spans="1:5" x14ac:dyDescent="0.3">
      <c r="A415" s="7">
        <v>52</v>
      </c>
      <c r="B415" s="7" t="s">
        <v>97</v>
      </c>
      <c r="C415" s="7">
        <v>1</v>
      </c>
      <c r="D415" s="10">
        <v>10</v>
      </c>
      <c r="E415" s="8">
        <v>-1.1044123264000001</v>
      </c>
    </row>
    <row r="416" spans="1:5" x14ac:dyDescent="0.3">
      <c r="A416" s="5">
        <v>52</v>
      </c>
      <c r="B416" s="5" t="s">
        <v>97</v>
      </c>
      <c r="C416" s="5">
        <v>2</v>
      </c>
      <c r="D416" s="9">
        <v>100</v>
      </c>
      <c r="E416" s="6">
        <v>-1.0754400394999999</v>
      </c>
    </row>
    <row r="417" spans="1:5" x14ac:dyDescent="0.3">
      <c r="A417" s="7">
        <v>52</v>
      </c>
      <c r="B417" s="7" t="s">
        <v>97</v>
      </c>
      <c r="C417" s="7">
        <v>3</v>
      </c>
      <c r="D417" s="10">
        <v>1000</v>
      </c>
      <c r="E417" s="8">
        <v>-1.0748074748000001</v>
      </c>
    </row>
    <row r="418" spans="1:5" x14ac:dyDescent="0.3">
      <c r="A418" s="5">
        <v>53</v>
      </c>
      <c r="B418" s="5" t="s">
        <v>98</v>
      </c>
      <c r="C418" s="5">
        <v>-4</v>
      </c>
      <c r="D418" s="9">
        <v>1E-4</v>
      </c>
      <c r="E418" s="6">
        <v>0.37940967330000003</v>
      </c>
    </row>
    <row r="419" spans="1:5" x14ac:dyDescent="0.3">
      <c r="A419" s="7">
        <v>53</v>
      </c>
      <c r="B419" s="7" t="s">
        <v>98</v>
      </c>
      <c r="C419" s="7">
        <v>-3</v>
      </c>
      <c r="D419" s="10">
        <v>1E-3</v>
      </c>
      <c r="E419" s="8">
        <v>0.69961769770000004</v>
      </c>
    </row>
    <row r="420" spans="1:5" x14ac:dyDescent="0.3">
      <c r="A420" s="5">
        <v>53</v>
      </c>
      <c r="B420" s="5" t="s">
        <v>98</v>
      </c>
      <c r="C420" s="5">
        <v>-2</v>
      </c>
      <c r="D420" s="9">
        <v>0.01</v>
      </c>
      <c r="E420" s="6">
        <v>0.91061403829999998</v>
      </c>
    </row>
    <row r="421" spans="1:5" x14ac:dyDescent="0.3">
      <c r="A421" s="7">
        <v>53</v>
      </c>
      <c r="B421" s="7" t="s">
        <v>98</v>
      </c>
      <c r="C421" s="7">
        <v>-1</v>
      </c>
      <c r="D421" s="10">
        <v>0.1</v>
      </c>
      <c r="E421" s="8">
        <v>0.85261534809999995</v>
      </c>
    </row>
    <row r="422" spans="1:5" x14ac:dyDescent="0.3">
      <c r="A422" s="5">
        <v>53</v>
      </c>
      <c r="B422" s="5" t="s">
        <v>98</v>
      </c>
      <c r="C422" s="5">
        <v>0</v>
      </c>
      <c r="D422" s="9">
        <v>1</v>
      </c>
      <c r="E422" s="6">
        <v>0.78293236070000005</v>
      </c>
    </row>
    <row r="423" spans="1:5" x14ac:dyDescent="0.3">
      <c r="A423" s="7">
        <v>53</v>
      </c>
      <c r="B423" s="7" t="s">
        <v>98</v>
      </c>
      <c r="C423" s="7">
        <v>1</v>
      </c>
      <c r="D423" s="10">
        <v>10</v>
      </c>
      <c r="E423" s="8">
        <v>0.77363144390000005</v>
      </c>
    </row>
    <row r="424" spans="1:5" x14ac:dyDescent="0.3">
      <c r="A424" s="5">
        <v>53</v>
      </c>
      <c r="B424" s="5" t="s">
        <v>98</v>
      </c>
      <c r="C424" s="5">
        <v>2</v>
      </c>
      <c r="D424" s="9">
        <v>100</v>
      </c>
      <c r="E424" s="6">
        <v>0.77375527970000002</v>
      </c>
    </row>
    <row r="425" spans="1:5" x14ac:dyDescent="0.3">
      <c r="A425" s="7">
        <v>53</v>
      </c>
      <c r="B425" s="7" t="s">
        <v>98</v>
      </c>
      <c r="C425" s="7">
        <v>3</v>
      </c>
      <c r="D425" s="10">
        <v>1000</v>
      </c>
      <c r="E425" s="8">
        <v>0.77310738400000001</v>
      </c>
    </row>
    <row r="426" spans="1:5" x14ac:dyDescent="0.3">
      <c r="A426" s="5">
        <v>54</v>
      </c>
      <c r="B426" s="5" t="s">
        <v>99</v>
      </c>
      <c r="C426" s="5">
        <v>-4</v>
      </c>
      <c r="D426" s="9">
        <v>1E-4</v>
      </c>
      <c r="E426" s="6">
        <v>0.45981251569999998</v>
      </c>
    </row>
    <row r="427" spans="1:5" x14ac:dyDescent="0.3">
      <c r="A427" s="7">
        <v>54</v>
      </c>
      <c r="B427" s="7" t="s">
        <v>99</v>
      </c>
      <c r="C427" s="7">
        <v>-3</v>
      </c>
      <c r="D427" s="10">
        <v>1E-3</v>
      </c>
      <c r="E427" s="8">
        <v>0.75780873550000005</v>
      </c>
    </row>
    <row r="428" spans="1:5" x14ac:dyDescent="0.3">
      <c r="A428" s="5">
        <v>54</v>
      </c>
      <c r="B428" s="5" t="s">
        <v>99</v>
      </c>
      <c r="C428" s="5">
        <v>-2</v>
      </c>
      <c r="D428" s="9">
        <v>0.01</v>
      </c>
      <c r="E428" s="6">
        <v>0.75213292490000005</v>
      </c>
    </row>
    <row r="429" spans="1:5" x14ac:dyDescent="0.3">
      <c r="A429" s="7">
        <v>54</v>
      </c>
      <c r="B429" s="7" t="s">
        <v>99</v>
      </c>
      <c r="C429" s="7">
        <v>-1</v>
      </c>
      <c r="D429" s="10">
        <v>0.1</v>
      </c>
      <c r="E429" s="8">
        <v>0.27206566809999999</v>
      </c>
    </row>
    <row r="430" spans="1:5" x14ac:dyDescent="0.3">
      <c r="A430" s="5">
        <v>54</v>
      </c>
      <c r="B430" s="5" t="s">
        <v>99</v>
      </c>
      <c r="C430" s="5">
        <v>0</v>
      </c>
      <c r="D430" s="9">
        <v>1</v>
      </c>
      <c r="E430" s="6">
        <v>7.2578713200000006E-2</v>
      </c>
    </row>
    <row r="431" spans="1:5" x14ac:dyDescent="0.3">
      <c r="A431" s="7">
        <v>54</v>
      </c>
      <c r="B431" s="7" t="s">
        <v>99</v>
      </c>
      <c r="C431" s="7">
        <v>1</v>
      </c>
      <c r="D431" s="10">
        <v>10</v>
      </c>
      <c r="E431" s="8">
        <v>5.4010788300000001E-2</v>
      </c>
    </row>
    <row r="432" spans="1:5" x14ac:dyDescent="0.3">
      <c r="A432" s="5">
        <v>54</v>
      </c>
      <c r="B432" s="5" t="s">
        <v>99</v>
      </c>
      <c r="C432" s="5">
        <v>2</v>
      </c>
      <c r="D432" s="9">
        <v>100</v>
      </c>
      <c r="E432" s="6">
        <v>5.91518319E-2</v>
      </c>
    </row>
    <row r="433" spans="1:5" x14ac:dyDescent="0.3">
      <c r="A433" s="7">
        <v>54</v>
      </c>
      <c r="B433" s="7" t="s">
        <v>99</v>
      </c>
      <c r="C433" s="7">
        <v>3</v>
      </c>
      <c r="D433" s="10">
        <v>1000</v>
      </c>
      <c r="E433" s="8">
        <v>5.84630576E-2</v>
      </c>
    </row>
    <row r="434" spans="1:5" x14ac:dyDescent="0.3">
      <c r="A434" s="5">
        <v>55</v>
      </c>
      <c r="B434" s="5" t="s">
        <v>100</v>
      </c>
      <c r="C434" s="5">
        <v>-4</v>
      </c>
      <c r="D434" s="9">
        <v>1E-4</v>
      </c>
      <c r="E434" s="6">
        <v>0.57128575309999996</v>
      </c>
    </row>
    <row r="435" spans="1:5" x14ac:dyDescent="0.3">
      <c r="A435" s="7">
        <v>55</v>
      </c>
      <c r="B435" s="7" t="s">
        <v>100</v>
      </c>
      <c r="C435" s="7">
        <v>-3</v>
      </c>
      <c r="D435" s="10">
        <v>1E-3</v>
      </c>
      <c r="E435" s="8">
        <v>0.63453482989999999</v>
      </c>
    </row>
    <row r="436" spans="1:5" x14ac:dyDescent="0.3">
      <c r="A436" s="5">
        <v>55</v>
      </c>
      <c r="B436" s="5" t="s">
        <v>100</v>
      </c>
      <c r="C436" s="5">
        <v>-2</v>
      </c>
      <c r="D436" s="9">
        <v>0.01</v>
      </c>
      <c r="E436" s="6">
        <v>0.85694334670000005</v>
      </c>
    </row>
    <row r="437" spans="1:5" x14ac:dyDescent="0.3">
      <c r="A437" s="7">
        <v>55</v>
      </c>
      <c r="B437" s="7" t="s">
        <v>100</v>
      </c>
      <c r="C437" s="7">
        <v>-1</v>
      </c>
      <c r="D437" s="10">
        <v>0.1</v>
      </c>
      <c r="E437" s="8">
        <v>0.60447830520000001</v>
      </c>
    </row>
    <row r="438" spans="1:5" x14ac:dyDescent="0.3">
      <c r="A438" s="5">
        <v>55</v>
      </c>
      <c r="B438" s="5" t="s">
        <v>100</v>
      </c>
      <c r="C438" s="5">
        <v>0</v>
      </c>
      <c r="D438" s="9">
        <v>1</v>
      </c>
      <c r="E438" s="6">
        <v>0.4064639344</v>
      </c>
    </row>
    <row r="439" spans="1:5" x14ac:dyDescent="0.3">
      <c r="A439" s="7">
        <v>55</v>
      </c>
      <c r="B439" s="7" t="s">
        <v>100</v>
      </c>
      <c r="C439" s="7">
        <v>1</v>
      </c>
      <c r="D439" s="10">
        <v>10</v>
      </c>
      <c r="E439" s="8">
        <v>0.3820542951</v>
      </c>
    </row>
    <row r="440" spans="1:5" x14ac:dyDescent="0.3">
      <c r="A440" s="5">
        <v>55</v>
      </c>
      <c r="B440" s="5" t="s">
        <v>100</v>
      </c>
      <c r="C440" s="5">
        <v>2</v>
      </c>
      <c r="D440" s="9">
        <v>100</v>
      </c>
      <c r="E440" s="6">
        <v>0.38277927919999999</v>
      </c>
    </row>
    <row r="441" spans="1:5" x14ac:dyDescent="0.3">
      <c r="A441" s="7">
        <v>55</v>
      </c>
      <c r="B441" s="7" t="s">
        <v>100</v>
      </c>
      <c r="C441" s="7">
        <v>3</v>
      </c>
      <c r="D441" s="10">
        <v>1000</v>
      </c>
      <c r="E441" s="8">
        <v>0.38808558799999998</v>
      </c>
    </row>
    <row r="442" spans="1:5" x14ac:dyDescent="0.3">
      <c r="A442" s="5">
        <v>56</v>
      </c>
      <c r="B442" s="5" t="s">
        <v>101</v>
      </c>
      <c r="C442" s="5">
        <v>-4</v>
      </c>
      <c r="D442" s="9">
        <v>1E-4</v>
      </c>
      <c r="E442" s="6">
        <v>0.61740478740000004</v>
      </c>
    </row>
    <row r="443" spans="1:5" x14ac:dyDescent="0.3">
      <c r="A443" s="7">
        <v>56</v>
      </c>
      <c r="B443" s="7" t="s">
        <v>101</v>
      </c>
      <c r="C443" s="7">
        <v>-3</v>
      </c>
      <c r="D443" s="10">
        <v>1E-3</v>
      </c>
      <c r="E443" s="8">
        <v>0.74980769049999996</v>
      </c>
    </row>
    <row r="444" spans="1:5" x14ac:dyDescent="0.3">
      <c r="A444" s="5">
        <v>56</v>
      </c>
      <c r="B444" s="5" t="s">
        <v>101</v>
      </c>
      <c r="C444" s="5">
        <v>-2</v>
      </c>
      <c r="D444" s="9">
        <v>0.01</v>
      </c>
      <c r="E444" s="6">
        <v>0.2847577234</v>
      </c>
    </row>
    <row r="445" spans="1:5" x14ac:dyDescent="0.3">
      <c r="A445" s="7">
        <v>56</v>
      </c>
      <c r="B445" s="7" t="s">
        <v>101</v>
      </c>
      <c r="C445" s="7">
        <v>-1</v>
      </c>
      <c r="D445" s="10">
        <v>0.1</v>
      </c>
      <c r="E445" s="8">
        <v>-0.53049295429999999</v>
      </c>
    </row>
    <row r="446" spans="1:5" x14ac:dyDescent="0.3">
      <c r="A446" s="5">
        <v>56</v>
      </c>
      <c r="B446" s="5" t="s">
        <v>101</v>
      </c>
      <c r="C446" s="5">
        <v>0</v>
      </c>
      <c r="D446" s="9">
        <v>1</v>
      </c>
      <c r="E446" s="6">
        <v>-0.64883587799999998</v>
      </c>
    </row>
    <row r="447" spans="1:5" x14ac:dyDescent="0.3">
      <c r="A447" s="7">
        <v>56</v>
      </c>
      <c r="B447" s="7" t="s">
        <v>101</v>
      </c>
      <c r="C447" s="7">
        <v>1</v>
      </c>
      <c r="D447" s="10">
        <v>10</v>
      </c>
      <c r="E447" s="8">
        <v>-0.67026506559999999</v>
      </c>
    </row>
    <row r="448" spans="1:5" x14ac:dyDescent="0.3">
      <c r="A448" s="5">
        <v>56</v>
      </c>
      <c r="B448" s="5" t="s">
        <v>101</v>
      </c>
      <c r="C448" s="5">
        <v>2</v>
      </c>
      <c r="D448" s="9">
        <v>100</v>
      </c>
      <c r="E448" s="6">
        <v>-0.67302904060000002</v>
      </c>
    </row>
    <row r="449" spans="1:5" x14ac:dyDescent="0.3">
      <c r="A449" s="7">
        <v>56</v>
      </c>
      <c r="B449" s="7" t="s">
        <v>101</v>
      </c>
      <c r="C449" s="7">
        <v>3</v>
      </c>
      <c r="D449" s="10">
        <v>1000</v>
      </c>
      <c r="E449" s="8">
        <v>-0.67087969609999998</v>
      </c>
    </row>
    <row r="450" spans="1:5" x14ac:dyDescent="0.3">
      <c r="A450" s="5">
        <v>57</v>
      </c>
      <c r="B450" s="5" t="s">
        <v>102</v>
      </c>
      <c r="C450" s="5">
        <v>-4</v>
      </c>
      <c r="D450" s="9">
        <v>1E-4</v>
      </c>
      <c r="E450" s="6">
        <v>0.7250166535</v>
      </c>
    </row>
    <row r="451" spans="1:5" x14ac:dyDescent="0.3">
      <c r="A451" s="7">
        <v>57</v>
      </c>
      <c r="B451" s="7" t="s">
        <v>102</v>
      </c>
      <c r="C451" s="7">
        <v>-3</v>
      </c>
      <c r="D451" s="10">
        <v>1E-3</v>
      </c>
      <c r="E451" s="8">
        <v>0.82537759710000003</v>
      </c>
    </row>
    <row r="452" spans="1:5" x14ac:dyDescent="0.3">
      <c r="A452" s="5">
        <v>57</v>
      </c>
      <c r="B452" s="5" t="s">
        <v>102</v>
      </c>
      <c r="C452" s="5">
        <v>-2</v>
      </c>
      <c r="D452" s="9">
        <v>0.01</v>
      </c>
      <c r="E452" s="6">
        <v>9.2032050500000004E-2</v>
      </c>
    </row>
    <row r="453" spans="1:5" x14ac:dyDescent="0.3">
      <c r="A453" s="7">
        <v>57</v>
      </c>
      <c r="B453" s="7" t="s">
        <v>102</v>
      </c>
      <c r="C453" s="7">
        <v>-1</v>
      </c>
      <c r="D453" s="10">
        <v>0.1</v>
      </c>
      <c r="E453" s="8">
        <v>-1.1659226747</v>
      </c>
    </row>
    <row r="454" spans="1:5" x14ac:dyDescent="0.3">
      <c r="A454" s="5">
        <v>57</v>
      </c>
      <c r="B454" s="5" t="s">
        <v>102</v>
      </c>
      <c r="C454" s="5">
        <v>0</v>
      </c>
      <c r="D454" s="9">
        <v>1</v>
      </c>
      <c r="E454" s="6">
        <v>-1.5855292978</v>
      </c>
    </row>
    <row r="455" spans="1:5" x14ac:dyDescent="0.3">
      <c r="A455" s="7">
        <v>57</v>
      </c>
      <c r="B455" s="7" t="s">
        <v>102</v>
      </c>
      <c r="C455" s="7">
        <v>1</v>
      </c>
      <c r="D455" s="10">
        <v>10</v>
      </c>
      <c r="E455" s="8">
        <v>-1.6188357324</v>
      </c>
    </row>
    <row r="456" spans="1:5" x14ac:dyDescent="0.3">
      <c r="A456" s="5">
        <v>57</v>
      </c>
      <c r="B456" s="5" t="s">
        <v>102</v>
      </c>
      <c r="C456" s="5">
        <v>2</v>
      </c>
      <c r="D456" s="9">
        <v>100</v>
      </c>
      <c r="E456" s="6">
        <v>-1.6180110239000001</v>
      </c>
    </row>
    <row r="457" spans="1:5" x14ac:dyDescent="0.3">
      <c r="A457" s="7">
        <v>57</v>
      </c>
      <c r="B457" s="7" t="s">
        <v>102</v>
      </c>
      <c r="C457" s="7">
        <v>3</v>
      </c>
      <c r="D457" s="10">
        <v>1000</v>
      </c>
      <c r="E457" s="8">
        <v>-1.6190510301000001</v>
      </c>
    </row>
    <row r="458" spans="1:5" x14ac:dyDescent="0.3">
      <c r="A458" s="5">
        <v>58</v>
      </c>
      <c r="B458" s="5" t="s">
        <v>103</v>
      </c>
      <c r="C458" s="5">
        <v>-4</v>
      </c>
      <c r="D458" s="9">
        <v>1E-4</v>
      </c>
      <c r="E458" s="6">
        <v>0.33171351650000003</v>
      </c>
    </row>
    <row r="459" spans="1:5" x14ac:dyDescent="0.3">
      <c r="A459" s="7">
        <v>58</v>
      </c>
      <c r="B459" s="7" t="s">
        <v>103</v>
      </c>
      <c r="C459" s="7">
        <v>-3</v>
      </c>
      <c r="D459" s="10">
        <v>1E-3</v>
      </c>
      <c r="E459" s="8">
        <v>0.58732039530000002</v>
      </c>
    </row>
    <row r="460" spans="1:5" x14ac:dyDescent="0.3">
      <c r="A460" s="5">
        <v>58</v>
      </c>
      <c r="B460" s="5" t="s">
        <v>103</v>
      </c>
      <c r="C460" s="5">
        <v>-2</v>
      </c>
      <c r="D460" s="9">
        <v>0.01</v>
      </c>
      <c r="E460" s="6">
        <v>0.8358131513</v>
      </c>
    </row>
    <row r="461" spans="1:5" x14ac:dyDescent="0.3">
      <c r="A461" s="7">
        <v>58</v>
      </c>
      <c r="B461" s="7" t="s">
        <v>103</v>
      </c>
      <c r="C461" s="7">
        <v>-1</v>
      </c>
      <c r="D461" s="10">
        <v>0.1</v>
      </c>
      <c r="E461" s="8">
        <v>0.4425132048</v>
      </c>
    </row>
    <row r="462" spans="1:5" x14ac:dyDescent="0.3">
      <c r="A462" s="5">
        <v>58</v>
      </c>
      <c r="B462" s="5" t="s">
        <v>103</v>
      </c>
      <c r="C462" s="5">
        <v>0</v>
      </c>
      <c r="D462" s="9">
        <v>1</v>
      </c>
      <c r="E462" s="6">
        <v>0.2481454048</v>
      </c>
    </row>
    <row r="463" spans="1:5" x14ac:dyDescent="0.3">
      <c r="A463" s="7">
        <v>58</v>
      </c>
      <c r="B463" s="7" t="s">
        <v>103</v>
      </c>
      <c r="C463" s="7">
        <v>1</v>
      </c>
      <c r="D463" s="10">
        <v>10</v>
      </c>
      <c r="E463" s="8">
        <v>0.2326959489</v>
      </c>
    </row>
    <row r="464" spans="1:5" x14ac:dyDescent="0.3">
      <c r="A464" s="5">
        <v>58</v>
      </c>
      <c r="B464" s="5" t="s">
        <v>103</v>
      </c>
      <c r="C464" s="5">
        <v>2</v>
      </c>
      <c r="D464" s="9">
        <v>100</v>
      </c>
      <c r="E464" s="6">
        <v>0.24476617249999999</v>
      </c>
    </row>
    <row r="465" spans="1:5" x14ac:dyDescent="0.3">
      <c r="A465" s="7">
        <v>58</v>
      </c>
      <c r="B465" s="7" t="s">
        <v>103</v>
      </c>
      <c r="C465" s="7">
        <v>3</v>
      </c>
      <c r="D465" s="10">
        <v>1000</v>
      </c>
      <c r="E465" s="8">
        <v>0.23722860100000001</v>
      </c>
    </row>
    <row r="466" spans="1:5" x14ac:dyDescent="0.3">
      <c r="A466" s="5">
        <v>59</v>
      </c>
      <c r="B466" s="5" t="s">
        <v>104</v>
      </c>
      <c r="C466" s="5">
        <v>-4</v>
      </c>
      <c r="D466" s="9">
        <v>1E-4</v>
      </c>
      <c r="E466" s="6">
        <v>0.44418668090000002</v>
      </c>
    </row>
    <row r="467" spans="1:5" x14ac:dyDescent="0.3">
      <c r="A467" s="7">
        <v>59</v>
      </c>
      <c r="B467" s="7" t="s">
        <v>104</v>
      </c>
      <c r="C467" s="7">
        <v>-3</v>
      </c>
      <c r="D467" s="10">
        <v>1E-3</v>
      </c>
      <c r="E467" s="8">
        <v>0.61893817760000003</v>
      </c>
    </row>
    <row r="468" spans="1:5" x14ac:dyDescent="0.3">
      <c r="A468" s="5">
        <v>59</v>
      </c>
      <c r="B468" s="5" t="s">
        <v>104</v>
      </c>
      <c r="C468" s="5">
        <v>-2</v>
      </c>
      <c r="D468" s="9">
        <v>0.01</v>
      </c>
      <c r="E468" s="6">
        <v>0.83696498850000001</v>
      </c>
    </row>
    <row r="469" spans="1:5" x14ac:dyDescent="0.3">
      <c r="A469" s="7">
        <v>59</v>
      </c>
      <c r="B469" s="7" t="s">
        <v>104</v>
      </c>
      <c r="C469" s="7">
        <v>-1</v>
      </c>
      <c r="D469" s="10">
        <v>0.1</v>
      </c>
      <c r="E469" s="8">
        <v>0.69979076669999996</v>
      </c>
    </row>
    <row r="470" spans="1:5" x14ac:dyDescent="0.3">
      <c r="A470" s="5">
        <v>59</v>
      </c>
      <c r="B470" s="5" t="s">
        <v>104</v>
      </c>
      <c r="C470" s="5">
        <v>0</v>
      </c>
      <c r="D470" s="9">
        <v>1</v>
      </c>
      <c r="E470" s="6">
        <v>0.55490719020000001</v>
      </c>
    </row>
    <row r="471" spans="1:5" x14ac:dyDescent="0.3">
      <c r="A471" s="7">
        <v>59</v>
      </c>
      <c r="B471" s="7" t="s">
        <v>104</v>
      </c>
      <c r="C471" s="7">
        <v>1</v>
      </c>
      <c r="D471" s="10">
        <v>10</v>
      </c>
      <c r="E471" s="8">
        <v>0.54354931439999998</v>
      </c>
    </row>
    <row r="472" spans="1:5" x14ac:dyDescent="0.3">
      <c r="A472" s="5">
        <v>59</v>
      </c>
      <c r="B472" s="5" t="s">
        <v>104</v>
      </c>
      <c r="C472" s="5">
        <v>2</v>
      </c>
      <c r="D472" s="9">
        <v>100</v>
      </c>
      <c r="E472" s="6">
        <v>0.53885495969999997</v>
      </c>
    </row>
    <row r="473" spans="1:5" x14ac:dyDescent="0.3">
      <c r="A473" s="7">
        <v>59</v>
      </c>
      <c r="B473" s="7" t="s">
        <v>104</v>
      </c>
      <c r="C473" s="7">
        <v>3</v>
      </c>
      <c r="D473" s="10">
        <v>1000</v>
      </c>
      <c r="E473" s="8">
        <v>0.54308135020000003</v>
      </c>
    </row>
    <row r="474" spans="1:5" x14ac:dyDescent="0.3">
      <c r="A474" s="5">
        <v>60</v>
      </c>
      <c r="B474" s="5" t="s">
        <v>105</v>
      </c>
      <c r="C474" s="5">
        <v>-4</v>
      </c>
      <c r="D474" s="9">
        <v>1E-4</v>
      </c>
      <c r="E474" s="6">
        <v>0.34814677329999999</v>
      </c>
    </row>
    <row r="475" spans="1:5" x14ac:dyDescent="0.3">
      <c r="A475" s="7">
        <v>60</v>
      </c>
      <c r="B475" s="7" t="s">
        <v>105</v>
      </c>
      <c r="C475" s="7">
        <v>-3</v>
      </c>
      <c r="D475" s="10">
        <v>1E-3</v>
      </c>
      <c r="E475" s="8">
        <v>0.64906770430000005</v>
      </c>
    </row>
    <row r="476" spans="1:5" x14ac:dyDescent="0.3">
      <c r="A476" s="5">
        <v>60</v>
      </c>
      <c r="B476" s="5" t="s">
        <v>105</v>
      </c>
      <c r="C476" s="5">
        <v>-2</v>
      </c>
      <c r="D476" s="9">
        <v>0.01</v>
      </c>
      <c r="E476" s="6">
        <v>0.81511790260000005</v>
      </c>
    </row>
    <row r="477" spans="1:5" x14ac:dyDescent="0.3">
      <c r="A477" s="7">
        <v>60</v>
      </c>
      <c r="B477" s="7" t="s">
        <v>105</v>
      </c>
      <c r="C477" s="7">
        <v>-1</v>
      </c>
      <c r="D477" s="10">
        <v>0.1</v>
      </c>
      <c r="E477" s="8">
        <v>0.42827546480000001</v>
      </c>
    </row>
    <row r="478" spans="1:5" x14ac:dyDescent="0.3">
      <c r="A478" s="5">
        <v>60</v>
      </c>
      <c r="B478" s="5" t="s">
        <v>105</v>
      </c>
      <c r="C478" s="5">
        <v>0</v>
      </c>
      <c r="D478" s="9">
        <v>1</v>
      </c>
      <c r="E478" s="6">
        <v>0.2175169357</v>
      </c>
    </row>
    <row r="479" spans="1:5" x14ac:dyDescent="0.3">
      <c r="A479" s="7">
        <v>60</v>
      </c>
      <c r="B479" s="7" t="s">
        <v>105</v>
      </c>
      <c r="C479" s="7">
        <v>1</v>
      </c>
      <c r="D479" s="10">
        <v>10</v>
      </c>
      <c r="E479" s="8">
        <v>0.19716990009999999</v>
      </c>
    </row>
    <row r="480" spans="1:5" x14ac:dyDescent="0.3">
      <c r="A480" s="5">
        <v>60</v>
      </c>
      <c r="B480" s="5" t="s">
        <v>105</v>
      </c>
      <c r="C480" s="5">
        <v>2</v>
      </c>
      <c r="D480" s="9">
        <v>100</v>
      </c>
      <c r="E480" s="6">
        <v>0.1975505672</v>
      </c>
    </row>
    <row r="481" spans="1:5" x14ac:dyDescent="0.3">
      <c r="A481" s="7">
        <v>60</v>
      </c>
      <c r="B481" s="7" t="s">
        <v>105</v>
      </c>
      <c r="C481" s="7">
        <v>3</v>
      </c>
      <c r="D481" s="10">
        <v>1000</v>
      </c>
      <c r="E481" s="8">
        <v>0.2006935463</v>
      </c>
    </row>
    <row r="482" spans="1:5" x14ac:dyDescent="0.3">
      <c r="A482" s="5">
        <v>61</v>
      </c>
      <c r="B482" s="5" t="s">
        <v>106</v>
      </c>
      <c r="C482" s="5">
        <v>-4</v>
      </c>
      <c r="D482" s="9">
        <v>1E-4</v>
      </c>
      <c r="E482" s="6">
        <v>0.36932322899999998</v>
      </c>
    </row>
    <row r="483" spans="1:5" x14ac:dyDescent="0.3">
      <c r="A483" s="7">
        <v>61</v>
      </c>
      <c r="B483" s="7" t="s">
        <v>106</v>
      </c>
      <c r="C483" s="7">
        <v>-3</v>
      </c>
      <c r="D483" s="10">
        <v>1E-3</v>
      </c>
      <c r="E483" s="8">
        <v>0.57953610899999997</v>
      </c>
    </row>
    <row r="484" spans="1:5" x14ac:dyDescent="0.3">
      <c r="A484" s="5">
        <v>61</v>
      </c>
      <c r="B484" s="5" t="s">
        <v>106</v>
      </c>
      <c r="C484" s="5">
        <v>-2</v>
      </c>
      <c r="D484" s="9">
        <v>0.01</v>
      </c>
      <c r="E484" s="6">
        <v>0.76052147749999999</v>
      </c>
    </row>
    <row r="485" spans="1:5" x14ac:dyDescent="0.3">
      <c r="A485" s="7">
        <v>61</v>
      </c>
      <c r="B485" s="7" t="s">
        <v>106</v>
      </c>
      <c r="C485" s="7">
        <v>-1</v>
      </c>
      <c r="D485" s="10">
        <v>0.1</v>
      </c>
      <c r="E485" s="8">
        <v>0.55481285140000003</v>
      </c>
    </row>
    <row r="486" spans="1:5" x14ac:dyDescent="0.3">
      <c r="A486" s="5">
        <v>61</v>
      </c>
      <c r="B486" s="5" t="s">
        <v>106</v>
      </c>
      <c r="C486" s="5">
        <v>0</v>
      </c>
      <c r="D486" s="9">
        <v>1</v>
      </c>
      <c r="E486" s="6">
        <v>0.41440031199999999</v>
      </c>
    </row>
    <row r="487" spans="1:5" x14ac:dyDescent="0.3">
      <c r="A487" s="7">
        <v>61</v>
      </c>
      <c r="B487" s="7" t="s">
        <v>106</v>
      </c>
      <c r="C487" s="7">
        <v>1</v>
      </c>
      <c r="D487" s="10">
        <v>10</v>
      </c>
      <c r="E487" s="8">
        <v>0.39689516380000001</v>
      </c>
    </row>
    <row r="488" spans="1:5" x14ac:dyDescent="0.3">
      <c r="A488" s="5">
        <v>61</v>
      </c>
      <c r="B488" s="5" t="s">
        <v>106</v>
      </c>
      <c r="C488" s="5">
        <v>2</v>
      </c>
      <c r="D488" s="9">
        <v>100</v>
      </c>
      <c r="E488" s="6">
        <v>0.39955663029999999</v>
      </c>
    </row>
    <row r="489" spans="1:5" x14ac:dyDescent="0.3">
      <c r="A489" s="7">
        <v>61</v>
      </c>
      <c r="B489" s="7" t="s">
        <v>106</v>
      </c>
      <c r="C489" s="7">
        <v>3</v>
      </c>
      <c r="D489" s="10">
        <v>1000</v>
      </c>
      <c r="E489" s="8">
        <v>0.39678283930000002</v>
      </c>
    </row>
    <row r="490" spans="1:5" x14ac:dyDescent="0.3">
      <c r="A490" s="5">
        <v>62</v>
      </c>
      <c r="B490" s="5" t="s">
        <v>107</v>
      </c>
      <c r="C490" s="5">
        <v>-4</v>
      </c>
      <c r="D490" s="9">
        <v>1E-4</v>
      </c>
      <c r="E490" s="6">
        <v>0.41993470830000001</v>
      </c>
    </row>
    <row r="491" spans="1:5" x14ac:dyDescent="0.3">
      <c r="A491" s="7">
        <v>62</v>
      </c>
      <c r="B491" s="7" t="s">
        <v>107</v>
      </c>
      <c r="C491" s="7">
        <v>-3</v>
      </c>
      <c r="D491" s="10">
        <v>1E-3</v>
      </c>
      <c r="E491" s="8">
        <v>0.63457218280000005</v>
      </c>
    </row>
    <row r="492" spans="1:5" x14ac:dyDescent="0.3">
      <c r="A492" s="5">
        <v>62</v>
      </c>
      <c r="B492" s="5" t="s">
        <v>107</v>
      </c>
      <c r="C492" s="5">
        <v>-2</v>
      </c>
      <c r="D492" s="9">
        <v>0.01</v>
      </c>
      <c r="E492" s="6">
        <v>-0.72979227319999995</v>
      </c>
    </row>
    <row r="493" spans="1:5" x14ac:dyDescent="0.3">
      <c r="A493" s="7">
        <v>62</v>
      </c>
      <c r="B493" s="7" t="s">
        <v>107</v>
      </c>
      <c r="C493" s="7">
        <v>-1</v>
      </c>
      <c r="D493" s="10">
        <v>0.1</v>
      </c>
      <c r="E493" s="8">
        <v>-1.7248433722000001</v>
      </c>
    </row>
    <row r="494" spans="1:5" x14ac:dyDescent="0.3">
      <c r="A494" s="5">
        <v>62</v>
      </c>
      <c r="B494" s="5" t="s">
        <v>107</v>
      </c>
      <c r="C494" s="5">
        <v>0</v>
      </c>
      <c r="D494" s="9">
        <v>1</v>
      </c>
      <c r="E494" s="6">
        <v>-2.1055276642999998</v>
      </c>
    </row>
    <row r="495" spans="1:5" x14ac:dyDescent="0.3">
      <c r="A495" s="7">
        <v>62</v>
      </c>
      <c r="B495" s="7" t="s">
        <v>107</v>
      </c>
      <c r="C495" s="7">
        <v>1</v>
      </c>
      <c r="D495" s="10">
        <v>10</v>
      </c>
      <c r="E495" s="8">
        <v>-2.1156491848000001</v>
      </c>
    </row>
    <row r="496" spans="1:5" x14ac:dyDescent="0.3">
      <c r="A496" s="5">
        <v>62</v>
      </c>
      <c r="B496" s="5" t="s">
        <v>107</v>
      </c>
      <c r="C496" s="5">
        <v>2</v>
      </c>
      <c r="D496" s="9">
        <v>100</v>
      </c>
      <c r="E496" s="6">
        <v>-2.1143616318</v>
      </c>
    </row>
    <row r="497" spans="1:5" x14ac:dyDescent="0.3">
      <c r="A497" s="7">
        <v>62</v>
      </c>
      <c r="B497" s="7" t="s">
        <v>107</v>
      </c>
      <c r="C497" s="7">
        <v>3</v>
      </c>
      <c r="D497" s="10">
        <v>1000</v>
      </c>
      <c r="E497" s="8">
        <v>-2.1045825046000002</v>
      </c>
    </row>
    <row r="498" spans="1:5" x14ac:dyDescent="0.3">
      <c r="A498" s="5">
        <v>63</v>
      </c>
      <c r="B498" s="5" t="s">
        <v>108</v>
      </c>
      <c r="C498" s="5">
        <v>-4</v>
      </c>
      <c r="D498" s="9">
        <v>1E-4</v>
      </c>
      <c r="E498" s="6">
        <v>0.33445417989999998</v>
      </c>
    </row>
    <row r="499" spans="1:5" x14ac:dyDescent="0.3">
      <c r="A499" s="7">
        <v>63</v>
      </c>
      <c r="B499" s="7" t="s">
        <v>108</v>
      </c>
      <c r="C499" s="7">
        <v>-3</v>
      </c>
      <c r="D499" s="10">
        <v>1E-3</v>
      </c>
      <c r="E499" s="8">
        <v>0.63483493790000001</v>
      </c>
    </row>
    <row r="500" spans="1:5" x14ac:dyDescent="0.3">
      <c r="A500" s="5">
        <v>63</v>
      </c>
      <c r="B500" s="5" t="s">
        <v>108</v>
      </c>
      <c r="C500" s="5">
        <v>-2</v>
      </c>
      <c r="D500" s="9">
        <v>0.01</v>
      </c>
      <c r="E500" s="6">
        <v>0.60953760869999996</v>
      </c>
    </row>
    <row r="501" spans="1:5" x14ac:dyDescent="0.3">
      <c r="A501" s="7">
        <v>63</v>
      </c>
      <c r="B501" s="7" t="s">
        <v>108</v>
      </c>
      <c r="C501" s="7">
        <v>-1</v>
      </c>
      <c r="D501" s="10">
        <v>0.1</v>
      </c>
      <c r="E501" s="8">
        <v>0.62138191939999998</v>
      </c>
    </row>
    <row r="502" spans="1:5" x14ac:dyDescent="0.3">
      <c r="A502" s="5">
        <v>63</v>
      </c>
      <c r="B502" s="5" t="s">
        <v>108</v>
      </c>
      <c r="C502" s="5">
        <v>0</v>
      </c>
      <c r="D502" s="9">
        <v>1</v>
      </c>
      <c r="E502" s="6">
        <v>0.55317665800000004</v>
      </c>
    </row>
    <row r="503" spans="1:5" x14ac:dyDescent="0.3">
      <c r="A503" s="7">
        <v>63</v>
      </c>
      <c r="B503" s="7" t="s">
        <v>108</v>
      </c>
      <c r="C503" s="7">
        <v>1</v>
      </c>
      <c r="D503" s="10">
        <v>10</v>
      </c>
      <c r="E503" s="8">
        <v>0.54369541379999997</v>
      </c>
    </row>
    <row r="504" spans="1:5" x14ac:dyDescent="0.3">
      <c r="A504" s="5">
        <v>63</v>
      </c>
      <c r="B504" s="5" t="s">
        <v>108</v>
      </c>
      <c r="C504" s="5">
        <v>2</v>
      </c>
      <c r="D504" s="9">
        <v>100</v>
      </c>
      <c r="E504" s="6">
        <v>0.53962263290000001</v>
      </c>
    </row>
    <row r="505" spans="1:5" x14ac:dyDescent="0.3">
      <c r="A505" s="7">
        <v>63</v>
      </c>
      <c r="B505" s="7" t="s">
        <v>108</v>
      </c>
      <c r="C505" s="7">
        <v>3</v>
      </c>
      <c r="D505" s="10">
        <v>1000</v>
      </c>
      <c r="E505" s="8">
        <v>0.54098757139999998</v>
      </c>
    </row>
    <row r="506" spans="1:5" x14ac:dyDescent="0.3">
      <c r="A506" s="5">
        <v>64</v>
      </c>
      <c r="B506" s="5" t="s">
        <v>109</v>
      </c>
      <c r="C506" s="5">
        <v>-4</v>
      </c>
      <c r="D506" s="9">
        <v>1E-4</v>
      </c>
      <c r="E506" s="6">
        <v>0.50568365189999998</v>
      </c>
    </row>
    <row r="507" spans="1:5" x14ac:dyDescent="0.3">
      <c r="A507" s="7">
        <v>64</v>
      </c>
      <c r="B507" s="7" t="s">
        <v>109</v>
      </c>
      <c r="C507" s="7">
        <v>-3</v>
      </c>
      <c r="D507" s="10">
        <v>1E-3</v>
      </c>
      <c r="E507" s="8">
        <v>0.6845767774</v>
      </c>
    </row>
    <row r="508" spans="1:5" x14ac:dyDescent="0.3">
      <c r="A508" s="5">
        <v>64</v>
      </c>
      <c r="B508" s="5" t="s">
        <v>109</v>
      </c>
      <c r="C508" s="5">
        <v>-2</v>
      </c>
      <c r="D508" s="9">
        <v>0.01</v>
      </c>
      <c r="E508" s="6">
        <v>0.8614043254</v>
      </c>
    </row>
    <row r="509" spans="1:5" x14ac:dyDescent="0.3">
      <c r="A509" s="7">
        <v>64</v>
      </c>
      <c r="B509" s="7" t="s">
        <v>109</v>
      </c>
      <c r="C509" s="7">
        <v>-1</v>
      </c>
      <c r="D509" s="10">
        <v>0.1</v>
      </c>
      <c r="E509" s="8">
        <v>0.39033280409999999</v>
      </c>
    </row>
    <row r="510" spans="1:5" x14ac:dyDescent="0.3">
      <c r="A510" s="5">
        <v>64</v>
      </c>
      <c r="B510" s="5" t="s">
        <v>109</v>
      </c>
      <c r="C510" s="5">
        <v>0</v>
      </c>
      <c r="D510" s="9">
        <v>1</v>
      </c>
      <c r="E510" s="6">
        <v>0.17300035280000001</v>
      </c>
    </row>
    <row r="511" spans="1:5" x14ac:dyDescent="0.3">
      <c r="A511" s="7">
        <v>64</v>
      </c>
      <c r="B511" s="7" t="s">
        <v>109</v>
      </c>
      <c r="C511" s="7">
        <v>1</v>
      </c>
      <c r="D511" s="10">
        <v>10</v>
      </c>
      <c r="E511" s="8">
        <v>0.17965547039999999</v>
      </c>
    </row>
    <row r="512" spans="1:5" x14ac:dyDescent="0.3">
      <c r="A512" s="5">
        <v>64</v>
      </c>
      <c r="B512" s="5" t="s">
        <v>109</v>
      </c>
      <c r="C512" s="5">
        <v>2</v>
      </c>
      <c r="D512" s="9">
        <v>100</v>
      </c>
      <c r="E512" s="6">
        <v>0.18679484390000001</v>
      </c>
    </row>
    <row r="513" spans="1:5" x14ac:dyDescent="0.3">
      <c r="A513" s="7">
        <v>64</v>
      </c>
      <c r="B513" s="7" t="s">
        <v>109</v>
      </c>
      <c r="C513" s="7">
        <v>3</v>
      </c>
      <c r="D513" s="10">
        <v>1000</v>
      </c>
      <c r="E513" s="8">
        <v>0.16986038149999999</v>
      </c>
    </row>
    <row r="514" spans="1:5" x14ac:dyDescent="0.3">
      <c r="A514" s="5">
        <v>65</v>
      </c>
      <c r="B514" s="5" t="s">
        <v>110</v>
      </c>
      <c r="C514" s="5">
        <v>-4</v>
      </c>
      <c r="D514" s="9">
        <v>1E-4</v>
      </c>
      <c r="E514" s="6">
        <v>0.5743880791</v>
      </c>
    </row>
    <row r="515" spans="1:5" x14ac:dyDescent="0.3">
      <c r="A515" s="7">
        <v>65</v>
      </c>
      <c r="B515" s="7" t="s">
        <v>110</v>
      </c>
      <c r="C515" s="7">
        <v>-3</v>
      </c>
      <c r="D515" s="10">
        <v>1E-3</v>
      </c>
      <c r="E515" s="8">
        <v>0.53117026089999997</v>
      </c>
    </row>
    <row r="516" spans="1:5" x14ac:dyDescent="0.3">
      <c r="A516" s="5">
        <v>65</v>
      </c>
      <c r="B516" s="5" t="s">
        <v>110</v>
      </c>
      <c r="C516" s="5">
        <v>-2</v>
      </c>
      <c r="D516" s="9">
        <v>0.01</v>
      </c>
      <c r="E516" s="6">
        <v>-0.64859385709999995</v>
      </c>
    </row>
    <row r="517" spans="1:5" x14ac:dyDescent="0.3">
      <c r="A517" s="7">
        <v>65</v>
      </c>
      <c r="B517" s="7" t="s">
        <v>110</v>
      </c>
      <c r="C517" s="7">
        <v>-1</v>
      </c>
      <c r="D517" s="10">
        <v>0.1</v>
      </c>
      <c r="E517" s="8">
        <v>-1.0727638459</v>
      </c>
    </row>
    <row r="518" spans="1:5" x14ac:dyDescent="0.3">
      <c r="A518" s="5">
        <v>65</v>
      </c>
      <c r="B518" s="5" t="s">
        <v>110</v>
      </c>
      <c r="C518" s="5">
        <v>0</v>
      </c>
      <c r="D518" s="9">
        <v>1</v>
      </c>
      <c r="E518" s="6">
        <v>-1.2392520335999999</v>
      </c>
    </row>
    <row r="519" spans="1:5" x14ac:dyDescent="0.3">
      <c r="A519" s="7">
        <v>65</v>
      </c>
      <c r="B519" s="7" t="s">
        <v>110</v>
      </c>
      <c r="C519" s="7">
        <v>1</v>
      </c>
      <c r="D519" s="10">
        <v>10</v>
      </c>
      <c r="E519" s="8">
        <v>-1.2561476442999999</v>
      </c>
    </row>
    <row r="520" spans="1:5" x14ac:dyDescent="0.3">
      <c r="A520" s="5">
        <v>65</v>
      </c>
      <c r="B520" s="5" t="s">
        <v>110</v>
      </c>
      <c r="C520" s="5">
        <v>2</v>
      </c>
      <c r="D520" s="9">
        <v>100</v>
      </c>
      <c r="E520" s="6">
        <v>-1.2561476442999999</v>
      </c>
    </row>
    <row r="521" spans="1:5" x14ac:dyDescent="0.3">
      <c r="A521" s="7">
        <v>65</v>
      </c>
      <c r="B521" s="7" t="s">
        <v>110</v>
      </c>
      <c r="C521" s="7">
        <v>3</v>
      </c>
      <c r="D521" s="10">
        <v>1000</v>
      </c>
      <c r="E521" s="8">
        <v>-1.2563305322</v>
      </c>
    </row>
    <row r="522" spans="1:5" x14ac:dyDescent="0.3">
      <c r="A522" s="5">
        <v>66</v>
      </c>
      <c r="B522" s="5" t="s">
        <v>111</v>
      </c>
      <c r="C522" s="5">
        <v>-4</v>
      </c>
      <c r="D522" s="9">
        <v>1E-4</v>
      </c>
      <c r="E522" s="6">
        <v>0.46242813620000001</v>
      </c>
    </row>
    <row r="523" spans="1:5" x14ac:dyDescent="0.3">
      <c r="A523" s="7">
        <v>66</v>
      </c>
      <c r="B523" s="7" t="s">
        <v>111</v>
      </c>
      <c r="C523" s="7">
        <v>-3</v>
      </c>
      <c r="D523" s="10">
        <v>1E-3</v>
      </c>
      <c r="E523" s="8">
        <v>0.80294241160000002</v>
      </c>
    </row>
    <row r="524" spans="1:5" x14ac:dyDescent="0.3">
      <c r="A524" s="5">
        <v>66</v>
      </c>
      <c r="B524" s="5" t="s">
        <v>111</v>
      </c>
      <c r="C524" s="5">
        <v>-2</v>
      </c>
      <c r="D524" s="9">
        <v>0.01</v>
      </c>
      <c r="E524" s="6">
        <v>0.85749614070000002</v>
      </c>
    </row>
    <row r="525" spans="1:5" x14ac:dyDescent="0.3">
      <c r="A525" s="7">
        <v>66</v>
      </c>
      <c r="B525" s="7" t="s">
        <v>111</v>
      </c>
      <c r="C525" s="7">
        <v>-1</v>
      </c>
      <c r="D525" s="10">
        <v>0.1</v>
      </c>
      <c r="E525" s="8">
        <v>0.6057709845</v>
      </c>
    </row>
    <row r="526" spans="1:5" x14ac:dyDescent="0.3">
      <c r="A526" s="5">
        <v>66</v>
      </c>
      <c r="B526" s="5" t="s">
        <v>111</v>
      </c>
      <c r="C526" s="5">
        <v>0</v>
      </c>
      <c r="D526" s="9">
        <v>1</v>
      </c>
      <c r="E526" s="6">
        <v>0.46469239550000002</v>
      </c>
    </row>
    <row r="527" spans="1:5" x14ac:dyDescent="0.3">
      <c r="A527" s="7">
        <v>66</v>
      </c>
      <c r="B527" s="7" t="s">
        <v>111</v>
      </c>
      <c r="C527" s="7">
        <v>1</v>
      </c>
      <c r="D527" s="10">
        <v>10</v>
      </c>
      <c r="E527" s="8">
        <v>0.45379027160000002</v>
      </c>
    </row>
    <row r="528" spans="1:5" x14ac:dyDescent="0.3">
      <c r="A528" s="5">
        <v>66</v>
      </c>
      <c r="B528" s="5" t="s">
        <v>111</v>
      </c>
      <c r="C528" s="5">
        <v>2</v>
      </c>
      <c r="D528" s="9">
        <v>100</v>
      </c>
      <c r="E528" s="6">
        <v>0.4504604123</v>
      </c>
    </row>
    <row r="529" spans="1:5" x14ac:dyDescent="0.3">
      <c r="A529" s="7">
        <v>66</v>
      </c>
      <c r="B529" s="7" t="s">
        <v>111</v>
      </c>
      <c r="C529" s="7">
        <v>3</v>
      </c>
      <c r="D529" s="10">
        <v>1000</v>
      </c>
      <c r="E529" s="8">
        <v>0.45298907989999998</v>
      </c>
    </row>
    <row r="530" spans="1:5" x14ac:dyDescent="0.3">
      <c r="A530" s="5">
        <v>67</v>
      </c>
      <c r="B530" s="5" t="s">
        <v>112</v>
      </c>
      <c r="C530" s="5">
        <v>-4</v>
      </c>
      <c r="D530" s="9">
        <v>1E-4</v>
      </c>
      <c r="E530" s="6">
        <v>0.4748402719</v>
      </c>
    </row>
    <row r="531" spans="1:5" x14ac:dyDescent="0.3">
      <c r="A531" s="7">
        <v>67</v>
      </c>
      <c r="B531" s="7" t="s">
        <v>112</v>
      </c>
      <c r="C531" s="7">
        <v>-3</v>
      </c>
      <c r="D531" s="10">
        <v>1E-3</v>
      </c>
      <c r="E531" s="8">
        <v>0.78126861359999999</v>
      </c>
    </row>
    <row r="532" spans="1:5" x14ac:dyDescent="0.3">
      <c r="A532" s="5">
        <v>67</v>
      </c>
      <c r="B532" s="5" t="s">
        <v>112</v>
      </c>
      <c r="C532" s="5">
        <v>-2</v>
      </c>
      <c r="D532" s="9">
        <v>0.01</v>
      </c>
      <c r="E532" s="6">
        <v>0.83623022319999996</v>
      </c>
    </row>
    <row r="533" spans="1:5" x14ac:dyDescent="0.3">
      <c r="A533" s="7">
        <v>67</v>
      </c>
      <c r="B533" s="7" t="s">
        <v>112</v>
      </c>
      <c r="C533" s="7">
        <v>-1</v>
      </c>
      <c r="D533" s="10">
        <v>0.1</v>
      </c>
      <c r="E533" s="8">
        <v>0.7524253769</v>
      </c>
    </row>
    <row r="534" spans="1:5" x14ac:dyDescent="0.3">
      <c r="A534" s="5">
        <v>67</v>
      </c>
      <c r="B534" s="5" t="s">
        <v>112</v>
      </c>
      <c r="C534" s="5">
        <v>0</v>
      </c>
      <c r="D534" s="9">
        <v>1</v>
      </c>
      <c r="E534" s="6">
        <v>0.70404776769999999</v>
      </c>
    </row>
    <row r="535" spans="1:5" x14ac:dyDescent="0.3">
      <c r="A535" s="7">
        <v>67</v>
      </c>
      <c r="B535" s="7" t="s">
        <v>112</v>
      </c>
      <c r="C535" s="7">
        <v>1</v>
      </c>
      <c r="D535" s="10">
        <v>10</v>
      </c>
      <c r="E535" s="8">
        <v>0.69971319099999996</v>
      </c>
    </row>
    <row r="536" spans="1:5" x14ac:dyDescent="0.3">
      <c r="A536" s="5">
        <v>67</v>
      </c>
      <c r="B536" s="5" t="s">
        <v>112</v>
      </c>
      <c r="C536" s="5">
        <v>2</v>
      </c>
      <c r="D536" s="9">
        <v>100</v>
      </c>
      <c r="E536" s="6">
        <v>0.69984391189999995</v>
      </c>
    </row>
    <row r="537" spans="1:5" x14ac:dyDescent="0.3">
      <c r="A537" s="7">
        <v>67</v>
      </c>
      <c r="B537" s="7" t="s">
        <v>112</v>
      </c>
      <c r="C537" s="7">
        <v>3</v>
      </c>
      <c r="D537" s="10">
        <v>1000</v>
      </c>
      <c r="E537" s="8">
        <v>0.69886680999999995</v>
      </c>
    </row>
    <row r="538" spans="1:5" x14ac:dyDescent="0.3">
      <c r="A538" s="5">
        <v>68</v>
      </c>
      <c r="B538" s="5" t="s">
        <v>113</v>
      </c>
      <c r="C538" s="5">
        <v>-4</v>
      </c>
      <c r="D538" s="9">
        <v>1E-4</v>
      </c>
      <c r="E538" s="6">
        <v>0.43142133700000002</v>
      </c>
    </row>
    <row r="539" spans="1:5" x14ac:dyDescent="0.3">
      <c r="A539" s="7">
        <v>68</v>
      </c>
      <c r="B539" s="7" t="s">
        <v>113</v>
      </c>
      <c r="C539" s="7">
        <v>-3</v>
      </c>
      <c r="D539" s="10">
        <v>1E-3</v>
      </c>
      <c r="E539" s="8">
        <v>0.77885716189999998</v>
      </c>
    </row>
    <row r="540" spans="1:5" x14ac:dyDescent="0.3">
      <c r="A540" s="5">
        <v>68</v>
      </c>
      <c r="B540" s="5" t="s">
        <v>113</v>
      </c>
      <c r="C540" s="5">
        <v>-2</v>
      </c>
      <c r="D540" s="9">
        <v>0.01</v>
      </c>
      <c r="E540" s="6">
        <v>0.69878430810000003</v>
      </c>
    </row>
    <row r="541" spans="1:5" x14ac:dyDescent="0.3">
      <c r="A541" s="7">
        <v>68</v>
      </c>
      <c r="B541" s="7" t="s">
        <v>113</v>
      </c>
      <c r="C541" s="7">
        <v>-1</v>
      </c>
      <c r="D541" s="10">
        <v>0.1</v>
      </c>
      <c r="E541" s="8">
        <v>0.26497320079999997</v>
      </c>
    </row>
    <row r="542" spans="1:5" x14ac:dyDescent="0.3">
      <c r="A542" s="5">
        <v>68</v>
      </c>
      <c r="B542" s="5" t="s">
        <v>113</v>
      </c>
      <c r="C542" s="5">
        <v>0</v>
      </c>
      <c r="D542" s="9">
        <v>1</v>
      </c>
      <c r="E542" s="6">
        <v>0.1343363511</v>
      </c>
    </row>
    <row r="543" spans="1:5" x14ac:dyDescent="0.3">
      <c r="A543" s="7">
        <v>68</v>
      </c>
      <c r="B543" s="7" t="s">
        <v>113</v>
      </c>
      <c r="C543" s="7">
        <v>1</v>
      </c>
      <c r="D543" s="10">
        <v>10</v>
      </c>
      <c r="E543" s="8">
        <v>0.1227824045</v>
      </c>
    </row>
    <row r="544" spans="1:5" x14ac:dyDescent="0.3">
      <c r="A544" s="5">
        <v>68</v>
      </c>
      <c r="B544" s="5" t="s">
        <v>113</v>
      </c>
      <c r="C544" s="5">
        <v>2</v>
      </c>
      <c r="D544" s="9">
        <v>100</v>
      </c>
      <c r="E544" s="6">
        <v>0.1232830156</v>
      </c>
    </row>
    <row r="545" spans="1:5" x14ac:dyDescent="0.3">
      <c r="A545" s="7">
        <v>68</v>
      </c>
      <c r="B545" s="7" t="s">
        <v>113</v>
      </c>
      <c r="C545" s="7">
        <v>3</v>
      </c>
      <c r="D545" s="10">
        <v>1000</v>
      </c>
      <c r="E545" s="8">
        <v>0.12350591549999999</v>
      </c>
    </row>
    <row r="546" spans="1:5" x14ac:dyDescent="0.3">
      <c r="A546" s="5">
        <v>69</v>
      </c>
      <c r="B546" s="5" t="s">
        <v>114</v>
      </c>
      <c r="C546" s="5">
        <v>-4</v>
      </c>
      <c r="D546" s="9">
        <v>1E-4</v>
      </c>
      <c r="E546" s="6">
        <v>0.49332095030000001</v>
      </c>
    </row>
    <row r="547" spans="1:5" x14ac:dyDescent="0.3">
      <c r="A547" s="7">
        <v>69</v>
      </c>
      <c r="B547" s="7" t="s">
        <v>114</v>
      </c>
      <c r="C547" s="7">
        <v>-3</v>
      </c>
      <c r="D547" s="10">
        <v>1E-3</v>
      </c>
      <c r="E547" s="8">
        <v>0.54047475020000002</v>
      </c>
    </row>
    <row r="548" spans="1:5" x14ac:dyDescent="0.3">
      <c r="A548" s="5">
        <v>69</v>
      </c>
      <c r="B548" s="5" t="s">
        <v>114</v>
      </c>
      <c r="C548" s="5">
        <v>-2</v>
      </c>
      <c r="D548" s="9">
        <v>0.01</v>
      </c>
      <c r="E548" s="6">
        <v>-1.9856633093</v>
      </c>
    </row>
    <row r="549" spans="1:5" x14ac:dyDescent="0.3">
      <c r="A549" s="7">
        <v>69</v>
      </c>
      <c r="B549" s="7" t="s">
        <v>114</v>
      </c>
      <c r="C549" s="7">
        <v>-1</v>
      </c>
      <c r="D549" s="10">
        <v>0.1</v>
      </c>
      <c r="E549" s="8">
        <v>-3.1103738816000002</v>
      </c>
    </row>
    <row r="550" spans="1:5" x14ac:dyDescent="0.3">
      <c r="A550" s="5">
        <v>69</v>
      </c>
      <c r="B550" s="5" t="s">
        <v>114</v>
      </c>
      <c r="C550" s="5">
        <v>0</v>
      </c>
      <c r="D550" s="9">
        <v>1</v>
      </c>
      <c r="E550" s="6">
        <v>-3.3677758682999999</v>
      </c>
    </row>
    <row r="551" spans="1:5" x14ac:dyDescent="0.3">
      <c r="A551" s="7">
        <v>69</v>
      </c>
      <c r="B551" s="7" t="s">
        <v>114</v>
      </c>
      <c r="C551" s="7">
        <v>1</v>
      </c>
      <c r="D551" s="10">
        <v>10</v>
      </c>
      <c r="E551" s="8">
        <v>-3.3878969435999999</v>
      </c>
    </row>
    <row r="552" spans="1:5" x14ac:dyDescent="0.3">
      <c r="A552" s="5">
        <v>69</v>
      </c>
      <c r="B552" s="5" t="s">
        <v>114</v>
      </c>
      <c r="C552" s="5">
        <v>2</v>
      </c>
      <c r="D552" s="9">
        <v>100</v>
      </c>
      <c r="E552" s="6">
        <v>-3.390319297</v>
      </c>
    </row>
    <row r="553" spans="1:5" x14ac:dyDescent="0.3">
      <c r="A553" s="7">
        <v>69</v>
      </c>
      <c r="B553" s="7" t="s">
        <v>114</v>
      </c>
      <c r="C553" s="7">
        <v>3</v>
      </c>
      <c r="D553" s="10">
        <v>1000</v>
      </c>
      <c r="E553" s="8">
        <v>-3.3908821338999999</v>
      </c>
    </row>
    <row r="554" spans="1:5" x14ac:dyDescent="0.3">
      <c r="A554" s="5">
        <v>70</v>
      </c>
      <c r="B554" s="5" t="s">
        <v>115</v>
      </c>
      <c r="C554" s="5">
        <v>-4</v>
      </c>
      <c r="D554" s="9">
        <v>1E-4</v>
      </c>
      <c r="E554" s="6">
        <v>0.6460890319</v>
      </c>
    </row>
    <row r="555" spans="1:5" x14ac:dyDescent="0.3">
      <c r="A555" s="7">
        <v>70</v>
      </c>
      <c r="B555" s="7" t="s">
        <v>115</v>
      </c>
      <c r="C555" s="7">
        <v>-3</v>
      </c>
      <c r="D555" s="10">
        <v>1E-3</v>
      </c>
      <c r="E555" s="8">
        <v>0.81165381680000004</v>
      </c>
    </row>
    <row r="556" spans="1:5" x14ac:dyDescent="0.3">
      <c r="A556" s="5">
        <v>70</v>
      </c>
      <c r="B556" s="5" t="s">
        <v>115</v>
      </c>
      <c r="C556" s="5">
        <v>-2</v>
      </c>
      <c r="D556" s="9">
        <v>0.01</v>
      </c>
      <c r="E556" s="6">
        <v>0.1093272436</v>
      </c>
    </row>
    <row r="557" spans="1:5" x14ac:dyDescent="0.3">
      <c r="A557" s="7">
        <v>70</v>
      </c>
      <c r="B557" s="7" t="s">
        <v>115</v>
      </c>
      <c r="C557" s="7">
        <v>-1</v>
      </c>
      <c r="D557" s="10">
        <v>0.1</v>
      </c>
      <c r="E557" s="8">
        <v>-2.0791862548000002</v>
      </c>
    </row>
    <row r="558" spans="1:5" x14ac:dyDescent="0.3">
      <c r="A558" s="5">
        <v>70</v>
      </c>
      <c r="B558" s="5" t="s">
        <v>115</v>
      </c>
      <c r="C558" s="5">
        <v>0</v>
      </c>
      <c r="D558" s="9">
        <v>1</v>
      </c>
      <c r="E558" s="6">
        <v>-2.7855378204000001</v>
      </c>
    </row>
    <row r="559" spans="1:5" x14ac:dyDescent="0.3">
      <c r="A559" s="7">
        <v>70</v>
      </c>
      <c r="B559" s="7" t="s">
        <v>115</v>
      </c>
      <c r="C559" s="7">
        <v>1</v>
      </c>
      <c r="D559" s="10">
        <v>10</v>
      </c>
      <c r="E559" s="8">
        <v>-2.8213638526000002</v>
      </c>
    </row>
    <row r="560" spans="1:5" x14ac:dyDescent="0.3">
      <c r="A560" s="5">
        <v>70</v>
      </c>
      <c r="B560" s="5" t="s">
        <v>115</v>
      </c>
      <c r="C560" s="5">
        <v>2</v>
      </c>
      <c r="D560" s="9">
        <v>100</v>
      </c>
      <c r="E560" s="6">
        <v>-2.8162102301999998</v>
      </c>
    </row>
    <row r="561" spans="1:5" x14ac:dyDescent="0.3">
      <c r="A561" s="7">
        <v>70</v>
      </c>
      <c r="B561" s="7" t="s">
        <v>115</v>
      </c>
      <c r="C561" s="7">
        <v>3</v>
      </c>
      <c r="D561" s="10">
        <v>1000</v>
      </c>
      <c r="E561" s="8">
        <v>-2.7952164697000002</v>
      </c>
    </row>
    <row r="562" spans="1:5" x14ac:dyDescent="0.3">
      <c r="A562" s="5">
        <v>71</v>
      </c>
      <c r="B562" s="5" t="s">
        <v>116</v>
      </c>
      <c r="C562" s="5">
        <v>-4</v>
      </c>
      <c r="D562" s="9">
        <v>1E-4</v>
      </c>
      <c r="E562" s="6">
        <v>0.30034311279999998</v>
      </c>
    </row>
    <row r="563" spans="1:5" x14ac:dyDescent="0.3">
      <c r="A563" s="7">
        <v>71</v>
      </c>
      <c r="B563" s="7" t="s">
        <v>116</v>
      </c>
      <c r="C563" s="7">
        <v>-3</v>
      </c>
      <c r="D563" s="10">
        <v>1E-3</v>
      </c>
      <c r="E563" s="8">
        <v>0.49305435609999998</v>
      </c>
    </row>
    <row r="564" spans="1:5" x14ac:dyDescent="0.3">
      <c r="A564" s="5">
        <v>71</v>
      </c>
      <c r="B564" s="5" t="s">
        <v>116</v>
      </c>
      <c r="C564" s="5">
        <v>-2</v>
      </c>
      <c r="D564" s="9">
        <v>0.01</v>
      </c>
      <c r="E564" s="6">
        <v>0.83506923619999995</v>
      </c>
    </row>
    <row r="565" spans="1:5" x14ac:dyDescent="0.3">
      <c r="A565" s="7">
        <v>71</v>
      </c>
      <c r="B565" s="7" t="s">
        <v>116</v>
      </c>
      <c r="C565" s="7">
        <v>-1</v>
      </c>
      <c r="D565" s="10">
        <v>0.1</v>
      </c>
      <c r="E565" s="8">
        <v>0.49660162959999998</v>
      </c>
    </row>
    <row r="566" spans="1:5" x14ac:dyDescent="0.3">
      <c r="A566" s="5">
        <v>71</v>
      </c>
      <c r="B566" s="5" t="s">
        <v>116</v>
      </c>
      <c r="C566" s="5">
        <v>0</v>
      </c>
      <c r="D566" s="9">
        <v>1</v>
      </c>
      <c r="E566" s="6">
        <v>7.4713354900000001E-2</v>
      </c>
    </row>
    <row r="567" spans="1:5" x14ac:dyDescent="0.3">
      <c r="A567" s="7">
        <v>71</v>
      </c>
      <c r="B567" s="7" t="s">
        <v>116</v>
      </c>
      <c r="C567" s="7">
        <v>1</v>
      </c>
      <c r="D567" s="10">
        <v>10</v>
      </c>
      <c r="E567" s="8">
        <v>4.6233249599999998E-2</v>
      </c>
    </row>
    <row r="568" spans="1:5" x14ac:dyDescent="0.3">
      <c r="A568" s="5">
        <v>71</v>
      </c>
      <c r="B568" s="5" t="s">
        <v>116</v>
      </c>
      <c r="C568" s="5">
        <v>2</v>
      </c>
      <c r="D568" s="9">
        <v>100</v>
      </c>
      <c r="E568" s="6">
        <v>6.2110267400000002E-2</v>
      </c>
    </row>
    <row r="569" spans="1:5" x14ac:dyDescent="0.3">
      <c r="A569" s="7">
        <v>71</v>
      </c>
      <c r="B569" s="7" t="s">
        <v>116</v>
      </c>
      <c r="C569" s="7">
        <v>3</v>
      </c>
      <c r="D569" s="10">
        <v>1000</v>
      </c>
      <c r="E569" s="8">
        <v>5.0191409999999999E-2</v>
      </c>
    </row>
    <row r="570" spans="1:5" x14ac:dyDescent="0.3">
      <c r="A570" s="5">
        <v>72</v>
      </c>
      <c r="B570" s="5" t="s">
        <v>117</v>
      </c>
      <c r="C570" s="5">
        <v>-4</v>
      </c>
      <c r="D570" s="9">
        <v>1E-4</v>
      </c>
      <c r="E570" s="6">
        <v>0.37131344040000003</v>
      </c>
    </row>
    <row r="571" spans="1:5" x14ac:dyDescent="0.3">
      <c r="A571" s="7">
        <v>72</v>
      </c>
      <c r="B571" s="7" t="s">
        <v>117</v>
      </c>
      <c r="C571" s="7">
        <v>-3</v>
      </c>
      <c r="D571" s="10">
        <v>1E-3</v>
      </c>
      <c r="E571" s="8">
        <v>0.62805176939999996</v>
      </c>
    </row>
    <row r="572" spans="1:5" x14ac:dyDescent="0.3">
      <c r="A572" s="5">
        <v>72</v>
      </c>
      <c r="B572" s="5" t="s">
        <v>117</v>
      </c>
      <c r="C572" s="5">
        <v>-2</v>
      </c>
      <c r="D572" s="9">
        <v>0.01</v>
      </c>
      <c r="E572" s="6">
        <v>0.9263265222</v>
      </c>
    </row>
    <row r="573" spans="1:5" x14ac:dyDescent="0.3">
      <c r="A573" s="7">
        <v>72</v>
      </c>
      <c r="B573" s="7" t="s">
        <v>117</v>
      </c>
      <c r="C573" s="7">
        <v>-1</v>
      </c>
      <c r="D573" s="10">
        <v>0.1</v>
      </c>
      <c r="E573" s="8">
        <v>0.7157697824</v>
      </c>
    </row>
    <row r="574" spans="1:5" x14ac:dyDescent="0.3">
      <c r="A574" s="5">
        <v>72</v>
      </c>
      <c r="B574" s="5" t="s">
        <v>117</v>
      </c>
      <c r="C574" s="5">
        <v>0</v>
      </c>
      <c r="D574" s="9">
        <v>1</v>
      </c>
      <c r="E574" s="6">
        <v>0.53690658899999999</v>
      </c>
    </row>
    <row r="575" spans="1:5" x14ac:dyDescent="0.3">
      <c r="A575" s="7">
        <v>72</v>
      </c>
      <c r="B575" s="7" t="s">
        <v>117</v>
      </c>
      <c r="C575" s="7">
        <v>1</v>
      </c>
      <c r="D575" s="10">
        <v>10</v>
      </c>
      <c r="E575" s="8">
        <v>0.52309045050000003</v>
      </c>
    </row>
    <row r="576" spans="1:5" x14ac:dyDescent="0.3">
      <c r="A576" s="5">
        <v>72</v>
      </c>
      <c r="B576" s="5" t="s">
        <v>117</v>
      </c>
      <c r="C576" s="5">
        <v>2</v>
      </c>
      <c r="D576" s="9">
        <v>100</v>
      </c>
      <c r="E576" s="6">
        <v>0.52305726019999998</v>
      </c>
    </row>
    <row r="577" spans="1:5" x14ac:dyDescent="0.3">
      <c r="A577" s="7">
        <v>72</v>
      </c>
      <c r="B577" s="7" t="s">
        <v>117</v>
      </c>
      <c r="C577" s="7">
        <v>3</v>
      </c>
      <c r="D577" s="10">
        <v>1000</v>
      </c>
      <c r="E577" s="8">
        <v>0.53071630400000003</v>
      </c>
    </row>
    <row r="578" spans="1:5" x14ac:dyDescent="0.3">
      <c r="A578" s="5">
        <v>74</v>
      </c>
      <c r="B578" s="5" t="s">
        <v>122</v>
      </c>
      <c r="C578" s="5">
        <v>-4</v>
      </c>
      <c r="D578" s="9">
        <v>1E-4</v>
      </c>
      <c r="E578" s="6">
        <v>0.93229074889999997</v>
      </c>
    </row>
    <row r="579" spans="1:5" x14ac:dyDescent="0.3">
      <c r="A579" s="7">
        <v>74</v>
      </c>
      <c r="B579" s="7" t="s">
        <v>122</v>
      </c>
      <c r="C579" s="7">
        <v>-3</v>
      </c>
      <c r="D579" s="10">
        <v>1E-3</v>
      </c>
      <c r="E579" s="8">
        <v>0.94837004410000003</v>
      </c>
    </row>
    <row r="580" spans="1:5" x14ac:dyDescent="0.3">
      <c r="A580" s="5">
        <v>74</v>
      </c>
      <c r="B580" s="5" t="s">
        <v>122</v>
      </c>
      <c r="C580" s="5">
        <v>-2</v>
      </c>
      <c r="D580" s="9">
        <v>0.01</v>
      </c>
      <c r="E580" s="6">
        <v>0.95513950069999998</v>
      </c>
    </row>
    <row r="581" spans="1:5" x14ac:dyDescent="0.3">
      <c r="A581" s="7">
        <v>74</v>
      </c>
      <c r="B581" s="7" t="s">
        <v>122</v>
      </c>
      <c r="C581" s="7">
        <v>-1</v>
      </c>
      <c r="D581" s="10">
        <v>0.1</v>
      </c>
      <c r="E581" s="8">
        <v>0.97177679880000001</v>
      </c>
    </row>
    <row r="582" spans="1:5" x14ac:dyDescent="0.3">
      <c r="A582" s="5">
        <v>74</v>
      </c>
      <c r="B582" s="5" t="s">
        <v>122</v>
      </c>
      <c r="C582" s="5">
        <v>0</v>
      </c>
      <c r="D582" s="9">
        <v>1</v>
      </c>
      <c r="E582" s="6">
        <v>0.9985756241</v>
      </c>
    </row>
    <row r="583" spans="1:5" x14ac:dyDescent="0.3">
      <c r="A583" s="7">
        <v>74</v>
      </c>
      <c r="B583" s="7" t="s">
        <v>122</v>
      </c>
      <c r="C583" s="7">
        <v>1</v>
      </c>
      <c r="D583" s="10">
        <v>10</v>
      </c>
      <c r="E583" s="8">
        <v>1</v>
      </c>
    </row>
    <row r="584" spans="1:5" x14ac:dyDescent="0.3">
      <c r="A584" s="5">
        <v>74</v>
      </c>
      <c r="B584" s="5" t="s">
        <v>122</v>
      </c>
      <c r="C584" s="5">
        <v>2</v>
      </c>
      <c r="D584" s="9">
        <v>100</v>
      </c>
      <c r="E584" s="6">
        <v>1</v>
      </c>
    </row>
    <row r="585" spans="1:5" x14ac:dyDescent="0.3">
      <c r="A585" s="7">
        <v>74</v>
      </c>
      <c r="B585" s="7" t="s">
        <v>122</v>
      </c>
      <c r="C585" s="7">
        <v>3</v>
      </c>
      <c r="D585" s="10">
        <v>1000</v>
      </c>
      <c r="E585" s="8">
        <v>1</v>
      </c>
    </row>
    <row r="586" spans="1:5" x14ac:dyDescent="0.3">
      <c r="A586" s="5">
        <v>75</v>
      </c>
      <c r="B586" s="5" t="s">
        <v>123</v>
      </c>
      <c r="C586" s="5">
        <v>-4</v>
      </c>
      <c r="D586" s="9">
        <v>1E-4</v>
      </c>
      <c r="E586" s="6">
        <v>0.2828348101</v>
      </c>
    </row>
    <row r="587" spans="1:5" x14ac:dyDescent="0.3">
      <c r="A587" s="7">
        <v>75</v>
      </c>
      <c r="B587" s="7" t="s">
        <v>123</v>
      </c>
      <c r="C587" s="7">
        <v>-3</v>
      </c>
      <c r="D587" s="10">
        <v>1E-3</v>
      </c>
      <c r="E587" s="8">
        <v>0.49913105860000001</v>
      </c>
    </row>
    <row r="588" spans="1:5" x14ac:dyDescent="0.3">
      <c r="A588" s="5">
        <v>75</v>
      </c>
      <c r="B588" s="5" t="s">
        <v>123</v>
      </c>
      <c r="C588" s="5">
        <v>-2</v>
      </c>
      <c r="D588" s="9">
        <v>0.01</v>
      </c>
      <c r="E588" s="6">
        <v>0.8658876271</v>
      </c>
    </row>
    <row r="589" spans="1:5" x14ac:dyDescent="0.3">
      <c r="A589" s="7">
        <v>75</v>
      </c>
      <c r="B589" s="7" t="s">
        <v>123</v>
      </c>
      <c r="C589" s="7">
        <v>-1</v>
      </c>
      <c r="D589" s="10">
        <v>0.1</v>
      </c>
      <c r="E589" s="8">
        <v>0.77634274780000001</v>
      </c>
    </row>
    <row r="590" spans="1:5" x14ac:dyDescent="0.3">
      <c r="A590" s="5">
        <v>75</v>
      </c>
      <c r="B590" s="5" t="s">
        <v>123</v>
      </c>
      <c r="C590" s="5">
        <v>0</v>
      </c>
      <c r="D590" s="9">
        <v>1</v>
      </c>
      <c r="E590" s="6">
        <v>0.64224332480000001</v>
      </c>
    </row>
    <row r="591" spans="1:5" x14ac:dyDescent="0.3">
      <c r="A591" s="7">
        <v>75</v>
      </c>
      <c r="B591" s="7" t="s">
        <v>123</v>
      </c>
      <c r="C591" s="7">
        <v>1</v>
      </c>
      <c r="D591" s="10">
        <v>10</v>
      </c>
      <c r="E591" s="8">
        <v>0.63350068029999995</v>
      </c>
    </row>
    <row r="592" spans="1:5" x14ac:dyDescent="0.3">
      <c r="A592" s="5">
        <v>75</v>
      </c>
      <c r="B592" s="5" t="s">
        <v>123</v>
      </c>
      <c r="C592" s="5">
        <v>2</v>
      </c>
      <c r="D592" s="9">
        <v>100</v>
      </c>
      <c r="E592" s="6">
        <v>0.63437381110000002</v>
      </c>
    </row>
    <row r="593" spans="1:5" x14ac:dyDescent="0.3">
      <c r="A593" s="7">
        <v>75</v>
      </c>
      <c r="B593" s="7" t="s">
        <v>123</v>
      </c>
      <c r="C593" s="7">
        <v>3</v>
      </c>
      <c r="D593" s="10">
        <v>1000</v>
      </c>
      <c r="E593" s="8">
        <v>0.63230646639999999</v>
      </c>
    </row>
    <row r="594" spans="1:5" x14ac:dyDescent="0.3">
      <c r="A594" s="5">
        <v>76</v>
      </c>
      <c r="B594" s="5" t="s">
        <v>124</v>
      </c>
      <c r="C594" s="5">
        <v>-4</v>
      </c>
      <c r="D594" s="9">
        <v>1E-4</v>
      </c>
      <c r="E594" s="6">
        <v>0.84200915649999997</v>
      </c>
    </row>
    <row r="595" spans="1:5" x14ac:dyDescent="0.3">
      <c r="A595" s="7">
        <v>76</v>
      </c>
      <c r="B595" s="7" t="s">
        <v>124</v>
      </c>
      <c r="C595" s="7">
        <v>-3</v>
      </c>
      <c r="D595" s="10">
        <v>1E-3</v>
      </c>
      <c r="E595" s="8">
        <v>0.85216823929999996</v>
      </c>
    </row>
    <row r="596" spans="1:5" x14ac:dyDescent="0.3">
      <c r="A596" s="5">
        <v>76</v>
      </c>
      <c r="B596" s="5" t="s">
        <v>124</v>
      </c>
      <c r="C596" s="5">
        <v>-2</v>
      </c>
      <c r="D596" s="9">
        <v>0.01</v>
      </c>
      <c r="E596" s="6">
        <v>0.88025233780000001</v>
      </c>
    </row>
    <row r="597" spans="1:5" x14ac:dyDescent="0.3">
      <c r="A597" s="7">
        <v>76</v>
      </c>
      <c r="B597" s="7" t="s">
        <v>124</v>
      </c>
      <c r="C597" s="7">
        <v>-1</v>
      </c>
      <c r="D597" s="10">
        <v>0.1</v>
      </c>
      <c r="E597" s="8">
        <v>0.3497282666</v>
      </c>
    </row>
    <row r="598" spans="1:5" x14ac:dyDescent="0.3">
      <c r="A598" s="5">
        <v>76</v>
      </c>
      <c r="B598" s="5" t="s">
        <v>124</v>
      </c>
      <c r="C598" s="5">
        <v>0</v>
      </c>
      <c r="D598" s="9">
        <v>1</v>
      </c>
      <c r="E598" s="6">
        <v>4.6960988400000001E-2</v>
      </c>
    </row>
    <row r="599" spans="1:5" x14ac:dyDescent="0.3">
      <c r="A599" s="7">
        <v>76</v>
      </c>
      <c r="B599" s="7" t="s">
        <v>124</v>
      </c>
      <c r="C599" s="7">
        <v>1</v>
      </c>
      <c r="D599" s="10">
        <v>10</v>
      </c>
      <c r="E599" s="8">
        <v>2.43304755E-2</v>
      </c>
    </row>
    <row r="600" spans="1:5" x14ac:dyDescent="0.3">
      <c r="A600" s="5">
        <v>76</v>
      </c>
      <c r="B600" s="5" t="s">
        <v>124</v>
      </c>
      <c r="C600" s="5">
        <v>2</v>
      </c>
      <c r="D600" s="9">
        <v>100</v>
      </c>
      <c r="E600" s="6">
        <v>2.3961063300000002E-2</v>
      </c>
    </row>
    <row r="601" spans="1:5" x14ac:dyDescent="0.3">
      <c r="A601" s="7">
        <v>76</v>
      </c>
      <c r="B601" s="7" t="s">
        <v>124</v>
      </c>
      <c r="C601" s="7">
        <v>3</v>
      </c>
      <c r="D601" s="10">
        <v>1000</v>
      </c>
      <c r="E601" s="8">
        <v>2.3961063300000002E-2</v>
      </c>
    </row>
    <row r="602" spans="1:5" x14ac:dyDescent="0.3">
      <c r="A602" s="5">
        <v>77</v>
      </c>
      <c r="B602" s="5" t="s">
        <v>125</v>
      </c>
      <c r="C602" s="5">
        <v>-4</v>
      </c>
      <c r="D602" s="9">
        <v>1E-4</v>
      </c>
      <c r="E602" s="6">
        <v>0.77670942700000001</v>
      </c>
    </row>
    <row r="603" spans="1:5" x14ac:dyDescent="0.3">
      <c r="A603" s="7">
        <v>77</v>
      </c>
      <c r="B603" s="7" t="s">
        <v>125</v>
      </c>
      <c r="C603" s="7">
        <v>-3</v>
      </c>
      <c r="D603" s="10">
        <v>1E-3</v>
      </c>
      <c r="E603" s="8">
        <v>0.64388923389999997</v>
      </c>
    </row>
    <row r="604" spans="1:5" x14ac:dyDescent="0.3">
      <c r="A604" s="5">
        <v>77</v>
      </c>
      <c r="B604" s="5" t="s">
        <v>125</v>
      </c>
      <c r="C604" s="5">
        <v>-2</v>
      </c>
      <c r="D604" s="9">
        <v>0.01</v>
      </c>
      <c r="E604" s="6">
        <v>0.42796391960000002</v>
      </c>
    </row>
    <row r="605" spans="1:5" x14ac:dyDescent="0.3">
      <c r="A605" s="7">
        <v>77</v>
      </c>
      <c r="B605" s="7" t="s">
        <v>125</v>
      </c>
      <c r="C605" s="7">
        <v>-1</v>
      </c>
      <c r="D605" s="10">
        <v>0.1</v>
      </c>
      <c r="E605" s="8">
        <v>1.2164603899999999E-2</v>
      </c>
    </row>
    <row r="606" spans="1:5" x14ac:dyDescent="0.3">
      <c r="A606" s="5">
        <v>77</v>
      </c>
      <c r="B606" s="5" t="s">
        <v>125</v>
      </c>
      <c r="C606" s="5">
        <v>0</v>
      </c>
      <c r="D606" s="9">
        <v>1</v>
      </c>
      <c r="E606" s="6">
        <v>-0.1487234472</v>
      </c>
    </row>
    <row r="607" spans="1:5" x14ac:dyDescent="0.3">
      <c r="A607" s="7">
        <v>77</v>
      </c>
      <c r="B607" s="7" t="s">
        <v>125</v>
      </c>
      <c r="C607" s="7">
        <v>1</v>
      </c>
      <c r="D607" s="10">
        <v>10</v>
      </c>
      <c r="E607" s="8">
        <v>-0.1541866888</v>
      </c>
    </row>
    <row r="608" spans="1:5" x14ac:dyDescent="0.3">
      <c r="A608" s="5">
        <v>77</v>
      </c>
      <c r="B608" s="5" t="s">
        <v>125</v>
      </c>
      <c r="C608" s="5">
        <v>2</v>
      </c>
      <c r="D608" s="9">
        <v>100</v>
      </c>
      <c r="E608" s="6">
        <v>-0.15427151989999999</v>
      </c>
    </row>
    <row r="609" spans="1:5" x14ac:dyDescent="0.3">
      <c r="A609" s="7">
        <v>77</v>
      </c>
      <c r="B609" s="7" t="s">
        <v>125</v>
      </c>
      <c r="C609" s="7">
        <v>3</v>
      </c>
      <c r="D609" s="10">
        <v>1000</v>
      </c>
      <c r="E609" s="8">
        <v>-0.1544319489</v>
      </c>
    </row>
    <row r="610" spans="1:5" x14ac:dyDescent="0.3">
      <c r="A610" s="5">
        <v>78</v>
      </c>
      <c r="B610" s="5" t="s">
        <v>126</v>
      </c>
      <c r="C610" s="5">
        <v>-4</v>
      </c>
      <c r="D610" s="9">
        <v>1E-4</v>
      </c>
      <c r="E610" s="6">
        <v>0.33374845409999998</v>
      </c>
    </row>
    <row r="611" spans="1:5" x14ac:dyDescent="0.3">
      <c r="A611" s="7">
        <v>78</v>
      </c>
      <c r="B611" s="7" t="s">
        <v>126</v>
      </c>
      <c r="C611" s="7">
        <v>-3</v>
      </c>
      <c r="D611" s="10">
        <v>1E-3</v>
      </c>
      <c r="E611" s="8">
        <v>0.61568343270000003</v>
      </c>
    </row>
    <row r="612" spans="1:5" x14ac:dyDescent="0.3">
      <c r="A612" s="5">
        <v>78</v>
      </c>
      <c r="B612" s="5" t="s">
        <v>126</v>
      </c>
      <c r="C612" s="5">
        <v>-2</v>
      </c>
      <c r="D612" s="9">
        <v>0.01</v>
      </c>
      <c r="E612" s="6">
        <v>0.79132865279999998</v>
      </c>
    </row>
    <row r="613" spans="1:5" x14ac:dyDescent="0.3">
      <c r="A613" s="7">
        <v>78</v>
      </c>
      <c r="B613" s="7" t="s">
        <v>126</v>
      </c>
      <c r="C613" s="7">
        <v>-1</v>
      </c>
      <c r="D613" s="10">
        <v>0.1</v>
      </c>
      <c r="E613" s="8">
        <v>0.50443860600000001</v>
      </c>
    </row>
    <row r="614" spans="1:5" x14ac:dyDescent="0.3">
      <c r="A614" s="5">
        <v>78</v>
      </c>
      <c r="B614" s="5" t="s">
        <v>126</v>
      </c>
      <c r="C614" s="5">
        <v>0</v>
      </c>
      <c r="D614" s="9">
        <v>1</v>
      </c>
      <c r="E614" s="6">
        <v>0.39190657210000002</v>
      </c>
    </row>
    <row r="615" spans="1:5" x14ac:dyDescent="0.3">
      <c r="A615" s="7">
        <v>78</v>
      </c>
      <c r="B615" s="7" t="s">
        <v>126</v>
      </c>
      <c r="C615" s="7">
        <v>1</v>
      </c>
      <c r="D615" s="10">
        <v>10</v>
      </c>
      <c r="E615" s="8">
        <v>0.3827096063</v>
      </c>
    </row>
    <row r="616" spans="1:5" x14ac:dyDescent="0.3">
      <c r="A616" s="5">
        <v>78</v>
      </c>
      <c r="B616" s="5" t="s">
        <v>126</v>
      </c>
      <c r="C616" s="5">
        <v>2</v>
      </c>
      <c r="D616" s="9">
        <v>100</v>
      </c>
      <c r="E616" s="6">
        <v>0.38191572309999999</v>
      </c>
    </row>
    <row r="617" spans="1:5" x14ac:dyDescent="0.3">
      <c r="A617" s="7">
        <v>78</v>
      </c>
      <c r="B617" s="7" t="s">
        <v>126</v>
      </c>
      <c r="C617" s="7">
        <v>3</v>
      </c>
      <c r="D617" s="10">
        <v>1000</v>
      </c>
      <c r="E617" s="8">
        <v>0.38342169990000002</v>
      </c>
    </row>
    <row r="618" spans="1:5" x14ac:dyDescent="0.3">
      <c r="A618" s="5">
        <v>79</v>
      </c>
      <c r="B618" s="5" t="s">
        <v>127</v>
      </c>
      <c r="C618" s="5">
        <v>-4</v>
      </c>
      <c r="D618" s="9">
        <v>1E-4</v>
      </c>
      <c r="E618" s="6">
        <v>0.22306696440000001</v>
      </c>
    </row>
    <row r="619" spans="1:5" x14ac:dyDescent="0.3">
      <c r="A619" s="7">
        <v>79</v>
      </c>
      <c r="B619" s="7" t="s">
        <v>127</v>
      </c>
      <c r="C619" s="7">
        <v>-3</v>
      </c>
      <c r="D619" s="10">
        <v>1E-3</v>
      </c>
      <c r="E619" s="8">
        <v>0.3901420699</v>
      </c>
    </row>
    <row r="620" spans="1:5" x14ac:dyDescent="0.3">
      <c r="A620" s="5">
        <v>79</v>
      </c>
      <c r="B620" s="5" t="s">
        <v>127</v>
      </c>
      <c r="C620" s="5">
        <v>-2</v>
      </c>
      <c r="D620" s="9">
        <v>0.01</v>
      </c>
      <c r="E620" s="6">
        <v>0.79809587530000003</v>
      </c>
    </row>
    <row r="621" spans="1:5" x14ac:dyDescent="0.3">
      <c r="A621" s="7">
        <v>79</v>
      </c>
      <c r="B621" s="7" t="s">
        <v>127</v>
      </c>
      <c r="C621" s="7">
        <v>-1</v>
      </c>
      <c r="D621" s="10">
        <v>0.1</v>
      </c>
      <c r="E621" s="8">
        <v>0.60123004049999995</v>
      </c>
    </row>
    <row r="622" spans="1:5" x14ac:dyDescent="0.3">
      <c r="A622" s="5">
        <v>79</v>
      </c>
      <c r="B622" s="5" t="s">
        <v>127</v>
      </c>
      <c r="C622" s="5">
        <v>0</v>
      </c>
      <c r="D622" s="9">
        <v>1</v>
      </c>
      <c r="E622" s="6">
        <v>0.30318450810000003</v>
      </c>
    </row>
    <row r="623" spans="1:5" x14ac:dyDescent="0.3">
      <c r="A623" s="7">
        <v>79</v>
      </c>
      <c r="B623" s="7" t="s">
        <v>127</v>
      </c>
      <c r="C623" s="7">
        <v>1</v>
      </c>
      <c r="D623" s="10">
        <v>10</v>
      </c>
      <c r="E623" s="8">
        <v>0.29590437549999998</v>
      </c>
    </row>
    <row r="624" spans="1:5" x14ac:dyDescent="0.3">
      <c r="A624" s="5">
        <v>79</v>
      </c>
      <c r="B624" s="5" t="s">
        <v>127</v>
      </c>
      <c r="C624" s="5">
        <v>2</v>
      </c>
      <c r="D624" s="9">
        <v>100</v>
      </c>
      <c r="E624" s="6">
        <v>0.29028019030000002</v>
      </c>
    </row>
    <row r="625" spans="1:5" x14ac:dyDescent="0.3">
      <c r="A625" s="7">
        <v>79</v>
      </c>
      <c r="B625" s="7" t="s">
        <v>127</v>
      </c>
      <c r="C625" s="7">
        <v>3</v>
      </c>
      <c r="D625" s="10">
        <v>1000</v>
      </c>
      <c r="E625" s="8">
        <v>0.29578771320000002</v>
      </c>
    </row>
    <row r="626" spans="1:5" x14ac:dyDescent="0.3">
      <c r="A626" s="5">
        <v>80</v>
      </c>
      <c r="B626" s="5" t="s">
        <v>128</v>
      </c>
      <c r="C626" s="5">
        <v>-4</v>
      </c>
      <c r="D626" s="9">
        <v>1E-4</v>
      </c>
      <c r="E626" s="6">
        <v>0.48318913390000001</v>
      </c>
    </row>
    <row r="627" spans="1:5" x14ac:dyDescent="0.3">
      <c r="A627" s="7">
        <v>80</v>
      </c>
      <c r="B627" s="7" t="s">
        <v>128</v>
      </c>
      <c r="C627" s="7">
        <v>-3</v>
      </c>
      <c r="D627" s="10">
        <v>1E-3</v>
      </c>
      <c r="E627" s="8">
        <v>0.76783362519999998</v>
      </c>
    </row>
    <row r="628" spans="1:5" x14ac:dyDescent="0.3">
      <c r="A628" s="5">
        <v>80</v>
      </c>
      <c r="B628" s="5" t="s">
        <v>128</v>
      </c>
      <c r="C628" s="5">
        <v>-2</v>
      </c>
      <c r="D628" s="9">
        <v>0.01</v>
      </c>
      <c r="E628" s="6">
        <v>0.75839707860000005</v>
      </c>
    </row>
    <row r="629" spans="1:5" x14ac:dyDescent="0.3">
      <c r="A629" s="7">
        <v>80</v>
      </c>
      <c r="B629" s="7" t="s">
        <v>128</v>
      </c>
      <c r="C629" s="7">
        <v>-1</v>
      </c>
      <c r="D629" s="10">
        <v>0.1</v>
      </c>
      <c r="E629" s="8">
        <v>-7.6983140300000003E-2</v>
      </c>
    </row>
    <row r="630" spans="1:5" x14ac:dyDescent="0.3">
      <c r="A630" s="5">
        <v>80</v>
      </c>
      <c r="B630" s="5" t="s">
        <v>128</v>
      </c>
      <c r="C630" s="5">
        <v>0</v>
      </c>
      <c r="D630" s="9">
        <v>1</v>
      </c>
      <c r="E630" s="6">
        <v>-0.37777237740000003</v>
      </c>
    </row>
    <row r="631" spans="1:5" x14ac:dyDescent="0.3">
      <c r="A631" s="7">
        <v>80</v>
      </c>
      <c r="B631" s="7" t="s">
        <v>128</v>
      </c>
      <c r="C631" s="7">
        <v>1</v>
      </c>
      <c r="D631" s="10">
        <v>10</v>
      </c>
      <c r="E631" s="8">
        <v>-0.40185943460000001</v>
      </c>
    </row>
    <row r="632" spans="1:5" x14ac:dyDescent="0.3">
      <c r="A632" s="5">
        <v>80</v>
      </c>
      <c r="B632" s="5" t="s">
        <v>128</v>
      </c>
      <c r="C632" s="5">
        <v>2</v>
      </c>
      <c r="D632" s="9">
        <v>100</v>
      </c>
      <c r="E632" s="6">
        <v>-0.40100803810000002</v>
      </c>
    </row>
    <row r="633" spans="1:5" x14ac:dyDescent="0.3">
      <c r="A633" s="7">
        <v>80</v>
      </c>
      <c r="B633" s="7" t="s">
        <v>128</v>
      </c>
      <c r="C633" s="7">
        <v>3</v>
      </c>
      <c r="D633" s="10">
        <v>1000</v>
      </c>
      <c r="E633" s="8">
        <v>-0.3993402929</v>
      </c>
    </row>
    <row r="634" spans="1:5" x14ac:dyDescent="0.3">
      <c r="A634" s="5">
        <v>81</v>
      </c>
      <c r="B634" s="5" t="s">
        <v>129</v>
      </c>
      <c r="C634" s="5">
        <v>-4</v>
      </c>
      <c r="D634" s="9">
        <v>1E-4</v>
      </c>
      <c r="E634" s="6">
        <v>0.41269197639999999</v>
      </c>
    </row>
    <row r="635" spans="1:5" x14ac:dyDescent="0.3">
      <c r="A635" s="7">
        <v>81</v>
      </c>
      <c r="B635" s="7" t="s">
        <v>129</v>
      </c>
      <c r="C635" s="7">
        <v>-3</v>
      </c>
      <c r="D635" s="10">
        <v>1E-3</v>
      </c>
      <c r="E635" s="8">
        <v>0.5899224019</v>
      </c>
    </row>
    <row r="636" spans="1:5" x14ac:dyDescent="0.3">
      <c r="A636" s="5">
        <v>81</v>
      </c>
      <c r="B636" s="5" t="s">
        <v>129</v>
      </c>
      <c r="C636" s="5">
        <v>-2</v>
      </c>
      <c r="D636" s="9">
        <v>0.01</v>
      </c>
      <c r="E636" s="6">
        <v>0.8040704125</v>
      </c>
    </row>
    <row r="637" spans="1:5" x14ac:dyDescent="0.3">
      <c r="A637" s="7">
        <v>81</v>
      </c>
      <c r="B637" s="7" t="s">
        <v>129</v>
      </c>
      <c r="C637" s="7">
        <v>-1</v>
      </c>
      <c r="D637" s="10">
        <v>0.1</v>
      </c>
      <c r="E637" s="8">
        <v>0.8639707244</v>
      </c>
    </row>
    <row r="638" spans="1:5" x14ac:dyDescent="0.3">
      <c r="A638" s="5">
        <v>81</v>
      </c>
      <c r="B638" s="5" t="s">
        <v>129</v>
      </c>
      <c r="C638" s="5">
        <v>0</v>
      </c>
      <c r="D638" s="9">
        <v>1</v>
      </c>
      <c r="E638" s="6">
        <v>0.70374887419999999</v>
      </c>
    </row>
    <row r="639" spans="1:5" x14ac:dyDescent="0.3">
      <c r="A639" s="7">
        <v>81</v>
      </c>
      <c r="B639" s="7" t="s">
        <v>129</v>
      </c>
      <c r="C639" s="7">
        <v>1</v>
      </c>
      <c r="D639" s="10">
        <v>10</v>
      </c>
      <c r="E639" s="8">
        <v>0.65179159399999997</v>
      </c>
    </row>
    <row r="640" spans="1:5" x14ac:dyDescent="0.3">
      <c r="A640" s="5">
        <v>81</v>
      </c>
      <c r="B640" s="5" t="s">
        <v>129</v>
      </c>
      <c r="C640" s="5">
        <v>2</v>
      </c>
      <c r="D640" s="9">
        <v>100</v>
      </c>
      <c r="E640" s="6">
        <v>0.65093390240000004</v>
      </c>
    </row>
    <row r="641" spans="1:5" x14ac:dyDescent="0.3">
      <c r="A641" s="7">
        <v>81</v>
      </c>
      <c r="B641" s="7" t="s">
        <v>129</v>
      </c>
      <c r="C641" s="7">
        <v>3</v>
      </c>
      <c r="D641" s="10">
        <v>1000</v>
      </c>
      <c r="E641" s="8">
        <v>0.64949003530000005</v>
      </c>
    </row>
    <row r="642" spans="1:5" x14ac:dyDescent="0.3">
      <c r="A642" s="5">
        <v>82</v>
      </c>
      <c r="B642" s="5" t="s">
        <v>130</v>
      </c>
      <c r="C642" s="5">
        <v>-4</v>
      </c>
      <c r="D642" s="9">
        <v>1E-4</v>
      </c>
      <c r="E642" s="6">
        <v>0.50183482629999998</v>
      </c>
    </row>
    <row r="643" spans="1:5" x14ac:dyDescent="0.3">
      <c r="A643" s="7">
        <v>82</v>
      </c>
      <c r="B643" s="7" t="s">
        <v>130</v>
      </c>
      <c r="C643" s="7">
        <v>-3</v>
      </c>
      <c r="D643" s="10">
        <v>1E-3</v>
      </c>
      <c r="E643" s="8">
        <v>0.64039980799999996</v>
      </c>
    </row>
    <row r="644" spans="1:5" x14ac:dyDescent="0.3">
      <c r="A644" s="5">
        <v>82</v>
      </c>
      <c r="B644" s="5" t="s">
        <v>130</v>
      </c>
      <c r="C644" s="5">
        <v>-2</v>
      </c>
      <c r="D644" s="9">
        <v>0.01</v>
      </c>
      <c r="E644" s="6">
        <v>0.87290558829999998</v>
      </c>
    </row>
    <row r="645" spans="1:5" x14ac:dyDescent="0.3">
      <c r="A645" s="7">
        <v>82</v>
      </c>
      <c r="B645" s="7" t="s">
        <v>130</v>
      </c>
      <c r="C645" s="7">
        <v>-1</v>
      </c>
      <c r="D645" s="10">
        <v>0.1</v>
      </c>
      <c r="E645" s="8">
        <v>0.80297884330000002</v>
      </c>
    </row>
    <row r="646" spans="1:5" x14ac:dyDescent="0.3">
      <c r="A646" s="5">
        <v>82</v>
      </c>
      <c r="B646" s="5" t="s">
        <v>130</v>
      </c>
      <c r="C646" s="5">
        <v>0</v>
      </c>
      <c r="D646" s="9">
        <v>1</v>
      </c>
      <c r="E646" s="6">
        <v>0.72464429330000002</v>
      </c>
    </row>
    <row r="647" spans="1:5" x14ac:dyDescent="0.3">
      <c r="A647" s="7">
        <v>82</v>
      </c>
      <c r="B647" s="7" t="s">
        <v>130</v>
      </c>
      <c r="C647" s="7">
        <v>1</v>
      </c>
      <c r="D647" s="10">
        <v>10</v>
      </c>
      <c r="E647" s="8">
        <v>0.71140869900000003</v>
      </c>
    </row>
    <row r="648" spans="1:5" x14ac:dyDescent="0.3">
      <c r="A648" s="5">
        <v>82</v>
      </c>
      <c r="B648" s="5" t="s">
        <v>130</v>
      </c>
      <c r="C648" s="5">
        <v>2</v>
      </c>
      <c r="D648" s="9">
        <v>100</v>
      </c>
      <c r="E648" s="6">
        <v>0.71069006069999996</v>
      </c>
    </row>
    <row r="649" spans="1:5" x14ac:dyDescent="0.3">
      <c r="A649" s="7">
        <v>82</v>
      </c>
      <c r="B649" s="7" t="s">
        <v>130</v>
      </c>
      <c r="C649" s="7">
        <v>3</v>
      </c>
      <c r="D649" s="10">
        <v>1000</v>
      </c>
      <c r="E649" s="8">
        <v>0.71109917320000005</v>
      </c>
    </row>
    <row r="650" spans="1:5" x14ac:dyDescent="0.3">
      <c r="A650" s="5">
        <v>83</v>
      </c>
      <c r="B650" s="5" t="s">
        <v>131</v>
      </c>
      <c r="C650" s="5">
        <v>-4</v>
      </c>
      <c r="D650" s="9">
        <v>1E-4</v>
      </c>
      <c r="E650" s="6">
        <v>0.69359247040000005</v>
      </c>
    </row>
    <row r="651" spans="1:5" x14ac:dyDescent="0.3">
      <c r="A651" s="7">
        <v>83</v>
      </c>
      <c r="B651" s="7" t="s">
        <v>131</v>
      </c>
      <c r="C651" s="7">
        <v>-3</v>
      </c>
      <c r="D651" s="10">
        <v>1E-3</v>
      </c>
      <c r="E651" s="8">
        <v>0.82580433129999997</v>
      </c>
    </row>
    <row r="652" spans="1:5" x14ac:dyDescent="0.3">
      <c r="A652" s="5">
        <v>83</v>
      </c>
      <c r="B652" s="5" t="s">
        <v>131</v>
      </c>
      <c r="C652" s="5">
        <v>-2</v>
      </c>
      <c r="D652" s="9">
        <v>0.01</v>
      </c>
      <c r="E652" s="6">
        <v>-0.83926402739999995</v>
      </c>
    </row>
    <row r="653" spans="1:5" x14ac:dyDescent="0.3">
      <c r="A653" s="7">
        <v>83</v>
      </c>
      <c r="B653" s="7" t="s">
        <v>131</v>
      </c>
      <c r="C653" s="7">
        <v>-1</v>
      </c>
      <c r="D653" s="10">
        <v>0.1</v>
      </c>
      <c r="E653" s="8">
        <v>-3.3356371125000002</v>
      </c>
    </row>
    <row r="654" spans="1:5" x14ac:dyDescent="0.3">
      <c r="A654" s="5">
        <v>83</v>
      </c>
      <c r="B654" s="5" t="s">
        <v>131</v>
      </c>
      <c r="C654" s="5">
        <v>0</v>
      </c>
      <c r="D654" s="9">
        <v>1</v>
      </c>
      <c r="E654" s="6">
        <v>-4.6472548480000002</v>
      </c>
    </row>
    <row r="655" spans="1:5" x14ac:dyDescent="0.3">
      <c r="A655" s="7">
        <v>83</v>
      </c>
      <c r="B655" s="7" t="s">
        <v>131</v>
      </c>
      <c r="C655" s="7">
        <v>1</v>
      </c>
      <c r="D655" s="10">
        <v>10</v>
      </c>
      <c r="E655" s="8">
        <v>-4.7535385410000002</v>
      </c>
    </row>
    <row r="656" spans="1:5" x14ac:dyDescent="0.3">
      <c r="A656" s="5">
        <v>83</v>
      </c>
      <c r="B656" s="5" t="s">
        <v>131</v>
      </c>
      <c r="C656" s="5">
        <v>2</v>
      </c>
      <c r="D656" s="9">
        <v>100</v>
      </c>
      <c r="E656" s="6">
        <v>-4.7527459119</v>
      </c>
    </row>
    <row r="657" spans="1:5" x14ac:dyDescent="0.3">
      <c r="A657" s="7">
        <v>83</v>
      </c>
      <c r="B657" s="7" t="s">
        <v>131</v>
      </c>
      <c r="C657" s="7">
        <v>3</v>
      </c>
      <c r="D657" s="10">
        <v>1000</v>
      </c>
      <c r="E657" s="8">
        <v>-4.7550551975999999</v>
      </c>
    </row>
    <row r="658" spans="1:5" x14ac:dyDescent="0.3">
      <c r="A658" s="5">
        <v>84</v>
      </c>
      <c r="B658" s="5" t="s">
        <v>132</v>
      </c>
      <c r="C658" s="5">
        <v>-4</v>
      </c>
      <c r="D658" s="9">
        <v>1E-4</v>
      </c>
      <c r="E658" s="6">
        <v>0.41014248089999999</v>
      </c>
    </row>
    <row r="659" spans="1:5" x14ac:dyDescent="0.3">
      <c r="A659" s="7">
        <v>84</v>
      </c>
      <c r="B659" s="7" t="s">
        <v>132</v>
      </c>
      <c r="C659" s="7">
        <v>-3</v>
      </c>
      <c r="D659" s="10">
        <v>1E-3</v>
      </c>
      <c r="E659" s="8">
        <v>0.77017296739999996</v>
      </c>
    </row>
    <row r="660" spans="1:5" x14ac:dyDescent="0.3">
      <c r="A660" s="5">
        <v>84</v>
      </c>
      <c r="B660" s="5" t="s">
        <v>132</v>
      </c>
      <c r="C660" s="5">
        <v>-2</v>
      </c>
      <c r="D660" s="9">
        <v>0.01</v>
      </c>
      <c r="E660" s="6">
        <v>0.86858104339999997</v>
      </c>
    </row>
    <row r="661" spans="1:5" x14ac:dyDescent="0.3">
      <c r="A661" s="7">
        <v>84</v>
      </c>
      <c r="B661" s="7" t="s">
        <v>132</v>
      </c>
      <c r="C661" s="7">
        <v>-1</v>
      </c>
      <c r="D661" s="10">
        <v>0.1</v>
      </c>
      <c r="E661" s="8">
        <v>0.47588429129999998</v>
      </c>
    </row>
    <row r="662" spans="1:5" x14ac:dyDescent="0.3">
      <c r="A662" s="5">
        <v>84</v>
      </c>
      <c r="B662" s="5" t="s">
        <v>132</v>
      </c>
      <c r="C662" s="5">
        <v>0</v>
      </c>
      <c r="D662" s="9">
        <v>1</v>
      </c>
      <c r="E662" s="6">
        <v>0.25852921820000002</v>
      </c>
    </row>
    <row r="663" spans="1:5" x14ac:dyDescent="0.3">
      <c r="A663" s="7">
        <v>84</v>
      </c>
      <c r="B663" s="7" t="s">
        <v>132</v>
      </c>
      <c r="C663" s="7">
        <v>1</v>
      </c>
      <c r="D663" s="10">
        <v>10</v>
      </c>
      <c r="E663" s="8">
        <v>0.24868726529999999</v>
      </c>
    </row>
    <row r="664" spans="1:5" x14ac:dyDescent="0.3">
      <c r="A664" s="5">
        <v>84</v>
      </c>
      <c r="B664" s="5" t="s">
        <v>132</v>
      </c>
      <c r="C664" s="5">
        <v>2</v>
      </c>
      <c r="D664" s="9">
        <v>100</v>
      </c>
      <c r="E664" s="6">
        <v>0.24726407510000001</v>
      </c>
    </row>
    <row r="665" spans="1:5" x14ac:dyDescent="0.3">
      <c r="A665" s="7">
        <v>84</v>
      </c>
      <c r="B665" s="7" t="s">
        <v>132</v>
      </c>
      <c r="C665" s="7">
        <v>3</v>
      </c>
      <c r="D665" s="10">
        <v>1000</v>
      </c>
      <c r="E665" s="8">
        <v>0.25452886120000001</v>
      </c>
    </row>
    <row r="666" spans="1:5" x14ac:dyDescent="0.3">
      <c r="A666" s="5">
        <v>85</v>
      </c>
      <c r="B666" s="5" t="s">
        <v>133</v>
      </c>
      <c r="C666" s="5">
        <v>-4</v>
      </c>
      <c r="D666" s="9">
        <v>1E-4</v>
      </c>
      <c r="E666" s="6">
        <v>0.37979996599999999</v>
      </c>
    </row>
    <row r="667" spans="1:5" x14ac:dyDescent="0.3">
      <c r="A667" s="7">
        <v>85</v>
      </c>
      <c r="B667" s="7" t="s">
        <v>133</v>
      </c>
      <c r="C667" s="7">
        <v>-3</v>
      </c>
      <c r="D667" s="10">
        <v>1E-3</v>
      </c>
      <c r="E667" s="8">
        <v>0.71405100749999995</v>
      </c>
    </row>
    <row r="668" spans="1:5" x14ac:dyDescent="0.3">
      <c r="A668" s="5">
        <v>85</v>
      </c>
      <c r="B668" s="5" t="s">
        <v>133</v>
      </c>
      <c r="C668" s="5">
        <v>-2</v>
      </c>
      <c r="D668" s="9">
        <v>0.01</v>
      </c>
      <c r="E668" s="6">
        <v>0.56962312459999997</v>
      </c>
    </row>
    <row r="669" spans="1:5" x14ac:dyDescent="0.3">
      <c r="A669" s="7">
        <v>85</v>
      </c>
      <c r="B669" s="7" t="s">
        <v>133</v>
      </c>
      <c r="C669" s="7">
        <v>-1</v>
      </c>
      <c r="D669" s="10">
        <v>0.1</v>
      </c>
      <c r="E669" s="8">
        <v>1</v>
      </c>
    </row>
    <row r="670" spans="1:5" x14ac:dyDescent="0.3">
      <c r="A670" s="5">
        <v>85</v>
      </c>
      <c r="B670" s="5" t="s">
        <v>133</v>
      </c>
      <c r="C670" s="5">
        <v>0</v>
      </c>
      <c r="D670" s="9">
        <v>1</v>
      </c>
      <c r="E670" s="6">
        <v>1</v>
      </c>
    </row>
    <row r="671" spans="1:5" x14ac:dyDescent="0.3">
      <c r="A671" s="7">
        <v>85</v>
      </c>
      <c r="B671" s="7" t="s">
        <v>133</v>
      </c>
      <c r="C671" s="7">
        <v>1</v>
      </c>
      <c r="D671" s="10">
        <v>10</v>
      </c>
      <c r="E671" s="8">
        <v>1</v>
      </c>
    </row>
    <row r="672" spans="1:5" x14ac:dyDescent="0.3">
      <c r="A672" s="5">
        <v>85</v>
      </c>
      <c r="B672" s="5" t="s">
        <v>133</v>
      </c>
      <c r="C672" s="5">
        <v>2</v>
      </c>
      <c r="D672" s="9">
        <v>100</v>
      </c>
      <c r="E672" s="6">
        <v>1</v>
      </c>
    </row>
    <row r="673" spans="1:5" x14ac:dyDescent="0.3">
      <c r="A673" s="7">
        <v>85</v>
      </c>
      <c r="B673" s="7" t="s">
        <v>133</v>
      </c>
      <c r="C673" s="7">
        <v>3</v>
      </c>
      <c r="D673" s="10">
        <v>1000</v>
      </c>
      <c r="E673" s="8">
        <v>1</v>
      </c>
    </row>
    <row r="674" spans="1:5" x14ac:dyDescent="0.3">
      <c r="A674" s="5">
        <v>86</v>
      </c>
      <c r="B674" s="5" t="s">
        <v>134</v>
      </c>
      <c r="C674" s="5">
        <v>-4</v>
      </c>
      <c r="D674" s="9">
        <v>1E-4</v>
      </c>
      <c r="E674" s="6">
        <v>0.3122886748</v>
      </c>
    </row>
    <row r="675" spans="1:5" x14ac:dyDescent="0.3">
      <c r="A675" s="7">
        <v>86</v>
      </c>
      <c r="B675" s="7" t="s">
        <v>134</v>
      </c>
      <c r="C675" s="7">
        <v>-3</v>
      </c>
      <c r="D675" s="10">
        <v>1E-3</v>
      </c>
      <c r="E675" s="8">
        <v>0.61349159580000001</v>
      </c>
    </row>
    <row r="676" spans="1:5" x14ac:dyDescent="0.3">
      <c r="A676" s="5">
        <v>86</v>
      </c>
      <c r="B676" s="5" t="s">
        <v>134</v>
      </c>
      <c r="C676" s="5">
        <v>-2</v>
      </c>
      <c r="D676" s="9">
        <v>0.01</v>
      </c>
      <c r="E676" s="6">
        <v>0.56505105590000004</v>
      </c>
    </row>
    <row r="677" spans="1:5" x14ac:dyDescent="0.3">
      <c r="A677" s="7">
        <v>86</v>
      </c>
      <c r="B677" s="7" t="s">
        <v>134</v>
      </c>
      <c r="C677" s="7">
        <v>-1</v>
      </c>
      <c r="D677" s="10">
        <v>0.1</v>
      </c>
      <c r="E677" s="8">
        <v>0.3275687129</v>
      </c>
    </row>
    <row r="678" spans="1:5" x14ac:dyDescent="0.3">
      <c r="A678" s="5">
        <v>86</v>
      </c>
      <c r="B678" s="5" t="s">
        <v>134</v>
      </c>
      <c r="C678" s="5">
        <v>0</v>
      </c>
      <c r="D678" s="9">
        <v>1</v>
      </c>
      <c r="E678" s="6">
        <v>0.13377615910000001</v>
      </c>
    </row>
    <row r="679" spans="1:5" x14ac:dyDescent="0.3">
      <c r="A679" s="7">
        <v>86</v>
      </c>
      <c r="B679" s="7" t="s">
        <v>134</v>
      </c>
      <c r="C679" s="7">
        <v>1</v>
      </c>
      <c r="D679" s="10">
        <v>10</v>
      </c>
      <c r="E679" s="8">
        <v>0.1239493071</v>
      </c>
    </row>
    <row r="680" spans="1:5" x14ac:dyDescent="0.3">
      <c r="A680" s="5">
        <v>86</v>
      </c>
      <c r="B680" s="5" t="s">
        <v>134</v>
      </c>
      <c r="C680" s="5">
        <v>2</v>
      </c>
      <c r="D680" s="9">
        <v>100</v>
      </c>
      <c r="E680" s="6">
        <v>0.1202663598</v>
      </c>
    </row>
    <row r="681" spans="1:5" x14ac:dyDescent="0.3">
      <c r="A681" s="7">
        <v>86</v>
      </c>
      <c r="B681" s="7" t="s">
        <v>134</v>
      </c>
      <c r="C681" s="7">
        <v>3</v>
      </c>
      <c r="D681" s="10">
        <v>1000</v>
      </c>
      <c r="E681" s="8">
        <v>0.1217756173</v>
      </c>
    </row>
    <row r="682" spans="1:5" x14ac:dyDescent="0.3">
      <c r="A682" s="5">
        <v>87</v>
      </c>
      <c r="B682" s="5" t="s">
        <v>135</v>
      </c>
      <c r="C682" s="5">
        <v>-4</v>
      </c>
      <c r="D682" s="9">
        <v>1E-4</v>
      </c>
      <c r="E682" s="6">
        <v>0.50558208500000001</v>
      </c>
    </row>
    <row r="683" spans="1:5" x14ac:dyDescent="0.3">
      <c r="A683" s="7">
        <v>87</v>
      </c>
      <c r="B683" s="7" t="s">
        <v>135</v>
      </c>
      <c r="C683" s="7">
        <v>-3</v>
      </c>
      <c r="D683" s="10">
        <v>1E-3</v>
      </c>
      <c r="E683" s="8">
        <v>0.7711896855</v>
      </c>
    </row>
    <row r="684" spans="1:5" x14ac:dyDescent="0.3">
      <c r="A684" s="5">
        <v>87</v>
      </c>
      <c r="B684" s="5" t="s">
        <v>135</v>
      </c>
      <c r="C684" s="5">
        <v>-2</v>
      </c>
      <c r="D684" s="9">
        <v>0.01</v>
      </c>
      <c r="E684" s="6">
        <v>0.78984628550000002</v>
      </c>
    </row>
    <row r="685" spans="1:5" x14ac:dyDescent="0.3">
      <c r="A685" s="7">
        <v>87</v>
      </c>
      <c r="B685" s="7" t="s">
        <v>135</v>
      </c>
      <c r="C685" s="7">
        <v>-1</v>
      </c>
      <c r="D685" s="10">
        <v>0.1</v>
      </c>
      <c r="E685" s="8">
        <v>0.58161793380000004</v>
      </c>
    </row>
    <row r="686" spans="1:5" x14ac:dyDescent="0.3">
      <c r="A686" s="5">
        <v>87</v>
      </c>
      <c r="B686" s="5" t="s">
        <v>135</v>
      </c>
      <c r="C686" s="5">
        <v>0</v>
      </c>
      <c r="D686" s="9">
        <v>1</v>
      </c>
      <c r="E686" s="6">
        <v>0.49848252780000002</v>
      </c>
    </row>
    <row r="687" spans="1:5" x14ac:dyDescent="0.3">
      <c r="A687" s="7">
        <v>87</v>
      </c>
      <c r="B687" s="7" t="s">
        <v>135</v>
      </c>
      <c r="C687" s="7">
        <v>1</v>
      </c>
      <c r="D687" s="10">
        <v>10</v>
      </c>
      <c r="E687" s="8">
        <v>0.49296418320000002</v>
      </c>
    </row>
    <row r="688" spans="1:5" x14ac:dyDescent="0.3">
      <c r="A688" s="5">
        <v>87</v>
      </c>
      <c r="B688" s="5" t="s">
        <v>135</v>
      </c>
      <c r="C688" s="5">
        <v>2</v>
      </c>
      <c r="D688" s="9">
        <v>100</v>
      </c>
      <c r="E688" s="6">
        <v>0.49107985999999998</v>
      </c>
    </row>
    <row r="689" spans="1:5" x14ac:dyDescent="0.3">
      <c r="A689" s="7">
        <v>87</v>
      </c>
      <c r="B689" s="7" t="s">
        <v>135</v>
      </c>
      <c r="C689" s="7">
        <v>3</v>
      </c>
      <c r="D689" s="10">
        <v>1000</v>
      </c>
      <c r="E689" s="8">
        <v>0.4920006898</v>
      </c>
    </row>
    <row r="690" spans="1:5" x14ac:dyDescent="0.3">
      <c r="A690" s="5">
        <v>88</v>
      </c>
      <c r="B690" s="5" t="s">
        <v>136</v>
      </c>
      <c r="C690" s="5">
        <v>-4</v>
      </c>
      <c r="D690" s="9">
        <v>1E-4</v>
      </c>
      <c r="E690" s="6">
        <v>0.4667091545</v>
      </c>
    </row>
    <row r="691" spans="1:5" x14ac:dyDescent="0.3">
      <c r="A691" s="7">
        <v>88</v>
      </c>
      <c r="B691" s="7" t="s">
        <v>136</v>
      </c>
      <c r="C691" s="7">
        <v>-3</v>
      </c>
      <c r="D691" s="10">
        <v>1E-3</v>
      </c>
      <c r="E691" s="8">
        <v>0.6118730416</v>
      </c>
    </row>
    <row r="692" spans="1:5" x14ac:dyDescent="0.3">
      <c r="A692" s="5">
        <v>88</v>
      </c>
      <c r="B692" s="5" t="s">
        <v>136</v>
      </c>
      <c r="C692" s="5">
        <v>-2</v>
      </c>
      <c r="D692" s="9">
        <v>0.01</v>
      </c>
      <c r="E692" s="6">
        <v>0.85397827029999995</v>
      </c>
    </row>
    <row r="693" spans="1:5" x14ac:dyDescent="0.3">
      <c r="A693" s="7">
        <v>88</v>
      </c>
      <c r="B693" s="7" t="s">
        <v>136</v>
      </c>
      <c r="C693" s="7">
        <v>-1</v>
      </c>
      <c r="D693" s="10">
        <v>0.1</v>
      </c>
      <c r="E693" s="8">
        <v>0.79540173319999996</v>
      </c>
    </row>
    <row r="694" spans="1:5" x14ac:dyDescent="0.3">
      <c r="A694" s="5">
        <v>88</v>
      </c>
      <c r="B694" s="5" t="s">
        <v>136</v>
      </c>
      <c r="C694" s="5">
        <v>0</v>
      </c>
      <c r="D694" s="9">
        <v>1</v>
      </c>
      <c r="E694" s="6">
        <v>0.64930704969999997</v>
      </c>
    </row>
    <row r="695" spans="1:5" x14ac:dyDescent="0.3">
      <c r="A695" s="7">
        <v>88</v>
      </c>
      <c r="B695" s="7" t="s">
        <v>136</v>
      </c>
      <c r="C695" s="7">
        <v>1</v>
      </c>
      <c r="D695" s="10">
        <v>10</v>
      </c>
      <c r="E695" s="8">
        <v>0.62776831919999998</v>
      </c>
    </row>
    <row r="696" spans="1:5" x14ac:dyDescent="0.3">
      <c r="A696" s="5">
        <v>88</v>
      </c>
      <c r="B696" s="5" t="s">
        <v>136</v>
      </c>
      <c r="C696" s="5">
        <v>2</v>
      </c>
      <c r="D696" s="9">
        <v>100</v>
      </c>
      <c r="E696" s="6">
        <v>0.6416821922</v>
      </c>
    </row>
    <row r="697" spans="1:5" x14ac:dyDescent="0.3">
      <c r="A697" s="7">
        <v>88</v>
      </c>
      <c r="B697" s="7" t="s">
        <v>136</v>
      </c>
      <c r="C697" s="7">
        <v>3</v>
      </c>
      <c r="D697" s="10">
        <v>1000</v>
      </c>
      <c r="E697" s="8">
        <v>0.63028195799999998</v>
      </c>
    </row>
    <row r="698" spans="1:5" x14ac:dyDescent="0.3">
      <c r="A698" s="5">
        <v>89</v>
      </c>
      <c r="B698" s="5" t="s">
        <v>137</v>
      </c>
      <c r="C698" s="5">
        <v>-4</v>
      </c>
      <c r="D698" s="9">
        <v>1E-4</v>
      </c>
      <c r="E698" s="6">
        <v>0.55450057009999998</v>
      </c>
    </row>
    <row r="699" spans="1:5" x14ac:dyDescent="0.3">
      <c r="A699" s="7">
        <v>89</v>
      </c>
      <c r="B699" s="7" t="s">
        <v>137</v>
      </c>
      <c r="C699" s="7">
        <v>-3</v>
      </c>
      <c r="D699" s="10">
        <v>1E-3</v>
      </c>
      <c r="E699" s="8">
        <v>0.81167475479999995</v>
      </c>
    </row>
    <row r="700" spans="1:5" x14ac:dyDescent="0.3">
      <c r="A700" s="5">
        <v>89</v>
      </c>
      <c r="B700" s="5" t="s">
        <v>137</v>
      </c>
      <c r="C700" s="5">
        <v>-2</v>
      </c>
      <c r="D700" s="9">
        <v>0.01</v>
      </c>
      <c r="E700" s="6">
        <v>0.64917225899999997</v>
      </c>
    </row>
    <row r="701" spans="1:5" x14ac:dyDescent="0.3">
      <c r="A701" s="7">
        <v>89</v>
      </c>
      <c r="B701" s="7" t="s">
        <v>137</v>
      </c>
      <c r="C701" s="7">
        <v>-1</v>
      </c>
      <c r="D701" s="10">
        <v>0.1</v>
      </c>
      <c r="E701" s="8">
        <v>-1.34479778E-2</v>
      </c>
    </row>
    <row r="702" spans="1:5" x14ac:dyDescent="0.3">
      <c r="A702" s="5">
        <v>89</v>
      </c>
      <c r="B702" s="5" t="s">
        <v>137</v>
      </c>
      <c r="C702" s="5">
        <v>0</v>
      </c>
      <c r="D702" s="9">
        <v>1</v>
      </c>
      <c r="E702" s="6">
        <v>-0.30767870089999999</v>
      </c>
    </row>
    <row r="703" spans="1:5" x14ac:dyDescent="0.3">
      <c r="A703" s="7">
        <v>89</v>
      </c>
      <c r="B703" s="7" t="s">
        <v>137</v>
      </c>
      <c r="C703" s="7">
        <v>1</v>
      </c>
      <c r="D703" s="10">
        <v>10</v>
      </c>
      <c r="E703" s="8">
        <v>-0.33642563130000003</v>
      </c>
    </row>
    <row r="704" spans="1:5" x14ac:dyDescent="0.3">
      <c r="A704" s="5">
        <v>89</v>
      </c>
      <c r="B704" s="5" t="s">
        <v>137</v>
      </c>
      <c r="C704" s="5">
        <v>2</v>
      </c>
      <c r="D704" s="9">
        <v>100</v>
      </c>
      <c r="E704" s="6">
        <v>-0.34275576489999998</v>
      </c>
    </row>
    <row r="705" spans="1:5" x14ac:dyDescent="0.3">
      <c r="A705" s="7">
        <v>89</v>
      </c>
      <c r="B705" s="7" t="s">
        <v>137</v>
      </c>
      <c r="C705" s="7">
        <v>3</v>
      </c>
      <c r="D705" s="10">
        <v>1000</v>
      </c>
      <c r="E705" s="8">
        <v>-0.3246599792</v>
      </c>
    </row>
    <row r="706" spans="1:5" x14ac:dyDescent="0.3">
      <c r="A706" s="5">
        <v>90</v>
      </c>
      <c r="B706" s="5" t="s">
        <v>138</v>
      </c>
      <c r="C706" s="5">
        <v>-4</v>
      </c>
      <c r="D706" s="9">
        <v>1E-4</v>
      </c>
      <c r="E706" s="6">
        <v>0.68174364470000004</v>
      </c>
    </row>
    <row r="707" spans="1:5" x14ac:dyDescent="0.3">
      <c r="A707" s="7">
        <v>90</v>
      </c>
      <c r="B707" s="7" t="s">
        <v>138</v>
      </c>
      <c r="C707" s="7">
        <v>-3</v>
      </c>
      <c r="D707" s="10">
        <v>1E-3</v>
      </c>
      <c r="E707" s="8">
        <v>0.79068390580000003</v>
      </c>
    </row>
    <row r="708" spans="1:5" x14ac:dyDescent="0.3">
      <c r="A708" s="5">
        <v>90</v>
      </c>
      <c r="B708" s="5" t="s">
        <v>138</v>
      </c>
      <c r="C708" s="5">
        <v>-2</v>
      </c>
      <c r="D708" s="9">
        <v>0.01</v>
      </c>
      <c r="E708" s="6">
        <v>0.60431449449999997</v>
      </c>
    </row>
    <row r="709" spans="1:5" x14ac:dyDescent="0.3">
      <c r="A709" s="7">
        <v>90</v>
      </c>
      <c r="B709" s="7" t="s">
        <v>138</v>
      </c>
      <c r="C709" s="7">
        <v>-1</v>
      </c>
      <c r="D709" s="10">
        <v>0.1</v>
      </c>
      <c r="E709" s="8">
        <v>-0.27393299459999998</v>
      </c>
    </row>
    <row r="710" spans="1:5" x14ac:dyDescent="0.3">
      <c r="A710" s="5">
        <v>90</v>
      </c>
      <c r="B710" s="5" t="s">
        <v>138</v>
      </c>
      <c r="C710" s="5">
        <v>0</v>
      </c>
      <c r="D710" s="9">
        <v>1</v>
      </c>
      <c r="E710" s="6">
        <v>-0.52850131099999997</v>
      </c>
    </row>
    <row r="711" spans="1:5" x14ac:dyDescent="0.3">
      <c r="A711" s="7">
        <v>90</v>
      </c>
      <c r="B711" s="7" t="s">
        <v>138</v>
      </c>
      <c r="C711" s="7">
        <v>1</v>
      </c>
      <c r="D711" s="10">
        <v>10</v>
      </c>
      <c r="E711" s="8">
        <v>-0.55140391129999999</v>
      </c>
    </row>
    <row r="712" spans="1:5" x14ac:dyDescent="0.3">
      <c r="A712" s="5">
        <v>90</v>
      </c>
      <c r="B712" s="5" t="s">
        <v>138</v>
      </c>
      <c r="C712" s="5">
        <v>2</v>
      </c>
      <c r="D712" s="9">
        <v>100</v>
      </c>
      <c r="E712" s="6">
        <v>-0.55140391129999999</v>
      </c>
    </row>
    <row r="713" spans="1:5" x14ac:dyDescent="0.3">
      <c r="A713" s="7">
        <v>90</v>
      </c>
      <c r="B713" s="7" t="s">
        <v>138</v>
      </c>
      <c r="C713" s="7">
        <v>3</v>
      </c>
      <c r="D713" s="10">
        <v>1000</v>
      </c>
      <c r="E713" s="8">
        <v>-0.55140391129999999</v>
      </c>
    </row>
    <row r="714" spans="1:5" x14ac:dyDescent="0.3">
      <c r="A714" s="5">
        <v>91</v>
      </c>
      <c r="B714" s="5" t="s">
        <v>139</v>
      </c>
      <c r="C714" s="5">
        <v>-4</v>
      </c>
      <c r="D714" s="9">
        <v>1E-4</v>
      </c>
      <c r="E714" s="6">
        <v>0.36953044130000001</v>
      </c>
    </row>
    <row r="715" spans="1:5" x14ac:dyDescent="0.3">
      <c r="A715" s="7">
        <v>91</v>
      </c>
      <c r="B715" s="7" t="s">
        <v>139</v>
      </c>
      <c r="C715" s="7">
        <v>-3</v>
      </c>
      <c r="D715" s="10">
        <v>1E-3</v>
      </c>
      <c r="E715" s="8">
        <v>0.53044956649999997</v>
      </c>
    </row>
    <row r="716" spans="1:5" x14ac:dyDescent="0.3">
      <c r="A716" s="5">
        <v>91</v>
      </c>
      <c r="B716" s="5" t="s">
        <v>139</v>
      </c>
      <c r="C716" s="5">
        <v>-2</v>
      </c>
      <c r="D716" s="9">
        <v>0.01</v>
      </c>
      <c r="E716" s="6">
        <v>0.8628696065</v>
      </c>
    </row>
    <row r="717" spans="1:5" x14ac:dyDescent="0.3">
      <c r="A717" s="7">
        <v>91</v>
      </c>
      <c r="B717" s="7" t="s">
        <v>139</v>
      </c>
      <c r="C717" s="7">
        <v>-1</v>
      </c>
      <c r="D717" s="10">
        <v>0.1</v>
      </c>
      <c r="E717" s="8">
        <v>0.87952843889999999</v>
      </c>
    </row>
    <row r="718" spans="1:5" x14ac:dyDescent="0.3">
      <c r="A718" s="5">
        <v>91</v>
      </c>
      <c r="B718" s="5" t="s">
        <v>139</v>
      </c>
      <c r="C718" s="5">
        <v>0</v>
      </c>
      <c r="D718" s="9">
        <v>1</v>
      </c>
      <c r="E718" s="6">
        <v>0.80681362700000003</v>
      </c>
    </row>
    <row r="719" spans="1:5" x14ac:dyDescent="0.3">
      <c r="A719" s="7">
        <v>91</v>
      </c>
      <c r="B719" s="7" t="s">
        <v>139</v>
      </c>
      <c r="C719" s="7">
        <v>1</v>
      </c>
      <c r="D719" s="10">
        <v>10</v>
      </c>
      <c r="E719" s="8">
        <v>0.79789755760000003</v>
      </c>
    </row>
    <row r="720" spans="1:5" x14ac:dyDescent="0.3">
      <c r="A720" s="5">
        <v>91</v>
      </c>
      <c r="B720" s="5" t="s">
        <v>139</v>
      </c>
      <c r="C720" s="5">
        <v>2</v>
      </c>
      <c r="D720" s="9">
        <v>100</v>
      </c>
      <c r="E720" s="6">
        <v>0.79974806070000004</v>
      </c>
    </row>
    <row r="721" spans="1:5" x14ac:dyDescent="0.3">
      <c r="A721" s="7">
        <v>91</v>
      </c>
      <c r="B721" s="7" t="s">
        <v>139</v>
      </c>
      <c r="C721" s="7">
        <v>3</v>
      </c>
      <c r="D721" s="10">
        <v>1000</v>
      </c>
      <c r="E721" s="8">
        <v>0.79773976359999998</v>
      </c>
    </row>
    <row r="722" spans="1:5" x14ac:dyDescent="0.3">
      <c r="A722" s="5">
        <v>92</v>
      </c>
      <c r="B722" s="5" t="s">
        <v>140</v>
      </c>
      <c r="C722" s="5">
        <v>-4</v>
      </c>
      <c r="D722" s="9">
        <v>1E-4</v>
      </c>
      <c r="E722" s="6">
        <v>0.24399484029999999</v>
      </c>
    </row>
    <row r="723" spans="1:5" x14ac:dyDescent="0.3">
      <c r="A723" s="7">
        <v>92</v>
      </c>
      <c r="B723" s="7" t="s">
        <v>140</v>
      </c>
      <c r="C723" s="7">
        <v>-3</v>
      </c>
      <c r="D723" s="10">
        <v>1E-3</v>
      </c>
      <c r="E723" s="8">
        <v>0.47718768620000002</v>
      </c>
    </row>
    <row r="724" spans="1:5" x14ac:dyDescent="0.3">
      <c r="A724" s="5">
        <v>92</v>
      </c>
      <c r="B724" s="5" t="s">
        <v>140</v>
      </c>
      <c r="C724" s="5">
        <v>-2</v>
      </c>
      <c r="D724" s="9">
        <v>0.01</v>
      </c>
      <c r="E724" s="6">
        <v>0.83831576610000003</v>
      </c>
    </row>
    <row r="725" spans="1:5" x14ac:dyDescent="0.3">
      <c r="A725" s="7">
        <v>92</v>
      </c>
      <c r="B725" s="7" t="s">
        <v>140</v>
      </c>
      <c r="C725" s="7">
        <v>-1</v>
      </c>
      <c r="D725" s="10">
        <v>0.1</v>
      </c>
      <c r="E725" s="8">
        <v>0.8381394365</v>
      </c>
    </row>
    <row r="726" spans="1:5" x14ac:dyDescent="0.3">
      <c r="A726" s="5">
        <v>92</v>
      </c>
      <c r="B726" s="5" t="s">
        <v>140</v>
      </c>
      <c r="C726" s="5">
        <v>0</v>
      </c>
      <c r="D726" s="9">
        <v>1</v>
      </c>
      <c r="E726" s="6">
        <v>0.75464050130000004</v>
      </c>
    </row>
    <row r="727" spans="1:5" x14ac:dyDescent="0.3">
      <c r="A727" s="7">
        <v>92</v>
      </c>
      <c r="B727" s="7" t="s">
        <v>140</v>
      </c>
      <c r="C727" s="7">
        <v>1</v>
      </c>
      <c r="D727" s="10">
        <v>10</v>
      </c>
      <c r="E727" s="8">
        <v>0.74495693549999997</v>
      </c>
    </row>
    <row r="728" spans="1:5" x14ac:dyDescent="0.3">
      <c r="A728" s="5">
        <v>92</v>
      </c>
      <c r="B728" s="5" t="s">
        <v>140</v>
      </c>
      <c r="C728" s="5">
        <v>2</v>
      </c>
      <c r="D728" s="9">
        <v>100</v>
      </c>
      <c r="E728" s="6">
        <v>0.74484488319999997</v>
      </c>
    </row>
    <row r="729" spans="1:5" x14ac:dyDescent="0.3">
      <c r="A729" s="7">
        <v>92</v>
      </c>
      <c r="B729" s="7" t="s">
        <v>140</v>
      </c>
      <c r="C729" s="7">
        <v>3</v>
      </c>
      <c r="D729" s="10">
        <v>1000</v>
      </c>
      <c r="E729" s="8">
        <v>0.74469852049999996</v>
      </c>
    </row>
    <row r="730" spans="1:5" x14ac:dyDescent="0.3">
      <c r="A730" s="5">
        <v>93</v>
      </c>
      <c r="B730" s="5" t="s">
        <v>141</v>
      </c>
      <c r="C730" s="5">
        <v>-4</v>
      </c>
      <c r="D730" s="9">
        <v>1E-4</v>
      </c>
      <c r="E730" s="6">
        <v>0.26055387860000001</v>
      </c>
    </row>
    <row r="731" spans="1:5" x14ac:dyDescent="0.3">
      <c r="A731" s="7">
        <v>93</v>
      </c>
      <c r="B731" s="7" t="s">
        <v>141</v>
      </c>
      <c r="C731" s="7">
        <v>-3</v>
      </c>
      <c r="D731" s="10">
        <v>1E-3</v>
      </c>
      <c r="E731" s="8">
        <v>0.4241311767</v>
      </c>
    </row>
    <row r="732" spans="1:5" x14ac:dyDescent="0.3">
      <c r="A732" s="5">
        <v>93</v>
      </c>
      <c r="B732" s="5" t="s">
        <v>141</v>
      </c>
      <c r="C732" s="5">
        <v>-2</v>
      </c>
      <c r="D732" s="9">
        <v>0.01</v>
      </c>
      <c r="E732" s="6">
        <v>0.87276911869999996</v>
      </c>
    </row>
    <row r="733" spans="1:5" x14ac:dyDescent="0.3">
      <c r="A733" s="7">
        <v>93</v>
      </c>
      <c r="B733" s="7" t="s">
        <v>141</v>
      </c>
      <c r="C733" s="7">
        <v>-1</v>
      </c>
      <c r="D733" s="10">
        <v>0.1</v>
      </c>
      <c r="E733" s="8">
        <v>0.89078816530000005</v>
      </c>
    </row>
    <row r="734" spans="1:5" x14ac:dyDescent="0.3">
      <c r="A734" s="5">
        <v>93</v>
      </c>
      <c r="B734" s="5" t="s">
        <v>141</v>
      </c>
      <c r="C734" s="5">
        <v>0</v>
      </c>
      <c r="D734" s="9">
        <v>1</v>
      </c>
      <c r="E734" s="6">
        <v>0.80293699659999995</v>
      </c>
    </row>
    <row r="735" spans="1:5" x14ac:dyDescent="0.3">
      <c r="A735" s="7">
        <v>93</v>
      </c>
      <c r="B735" s="7" t="s">
        <v>141</v>
      </c>
      <c r="C735" s="7">
        <v>1</v>
      </c>
      <c r="D735" s="10">
        <v>10</v>
      </c>
      <c r="E735" s="8">
        <v>0.79337815109999998</v>
      </c>
    </row>
    <row r="736" spans="1:5" x14ac:dyDescent="0.3">
      <c r="A736" s="5">
        <v>93</v>
      </c>
      <c r="B736" s="5" t="s">
        <v>141</v>
      </c>
      <c r="C736" s="5">
        <v>2</v>
      </c>
      <c r="D736" s="9">
        <v>100</v>
      </c>
      <c r="E736" s="6">
        <v>0.79589131420000003</v>
      </c>
    </row>
    <row r="737" spans="1:5" x14ac:dyDescent="0.3">
      <c r="A737" s="7">
        <v>93</v>
      </c>
      <c r="B737" s="7" t="s">
        <v>141</v>
      </c>
      <c r="C737" s="7">
        <v>3</v>
      </c>
      <c r="D737" s="10">
        <v>1000</v>
      </c>
      <c r="E737" s="8">
        <v>0.79674786139999998</v>
      </c>
    </row>
    <row r="738" spans="1:5" x14ac:dyDescent="0.3">
      <c r="A738" s="5">
        <v>94</v>
      </c>
      <c r="B738" s="5" t="s">
        <v>142</v>
      </c>
      <c r="C738" s="5">
        <v>-4</v>
      </c>
      <c r="D738" s="9">
        <v>1E-4</v>
      </c>
      <c r="E738" s="6">
        <v>0.53309884620000003</v>
      </c>
    </row>
    <row r="739" spans="1:5" x14ac:dyDescent="0.3">
      <c r="A739" s="7">
        <v>94</v>
      </c>
      <c r="B739" s="7" t="s">
        <v>142</v>
      </c>
      <c r="C739" s="7">
        <v>-3</v>
      </c>
      <c r="D739" s="10">
        <v>1E-3</v>
      </c>
      <c r="E739" s="8">
        <v>0.63708638039999999</v>
      </c>
    </row>
    <row r="740" spans="1:5" x14ac:dyDescent="0.3">
      <c r="A740" s="5">
        <v>94</v>
      </c>
      <c r="B740" s="5" t="s">
        <v>142</v>
      </c>
      <c r="C740" s="5">
        <v>-2</v>
      </c>
      <c r="D740" s="9">
        <v>0.01</v>
      </c>
      <c r="E740" s="6">
        <v>0.80360909540000003</v>
      </c>
    </row>
    <row r="741" spans="1:5" x14ac:dyDescent="0.3">
      <c r="A741" s="7">
        <v>94</v>
      </c>
      <c r="B741" s="7" t="s">
        <v>142</v>
      </c>
      <c r="C741" s="7">
        <v>-1</v>
      </c>
      <c r="D741" s="10">
        <v>0.1</v>
      </c>
      <c r="E741" s="8">
        <v>0.48412020140000001</v>
      </c>
    </row>
    <row r="742" spans="1:5" x14ac:dyDescent="0.3">
      <c r="A742" s="5">
        <v>94</v>
      </c>
      <c r="B742" s="5" t="s">
        <v>142</v>
      </c>
      <c r="C742" s="5">
        <v>0</v>
      </c>
      <c r="D742" s="9">
        <v>1</v>
      </c>
      <c r="E742" s="6">
        <v>0.29678362089999999</v>
      </c>
    </row>
    <row r="743" spans="1:5" x14ac:dyDescent="0.3">
      <c r="A743" s="7">
        <v>94</v>
      </c>
      <c r="B743" s="7" t="s">
        <v>142</v>
      </c>
      <c r="C743" s="7">
        <v>1</v>
      </c>
      <c r="D743" s="10">
        <v>10</v>
      </c>
      <c r="E743" s="8">
        <v>0.27350780149999998</v>
      </c>
    </row>
    <row r="744" spans="1:5" x14ac:dyDescent="0.3">
      <c r="A744" s="5">
        <v>94</v>
      </c>
      <c r="B744" s="5" t="s">
        <v>142</v>
      </c>
      <c r="C744" s="5">
        <v>2</v>
      </c>
      <c r="D744" s="9">
        <v>100</v>
      </c>
      <c r="E744" s="6">
        <v>0.27350780149999998</v>
      </c>
    </row>
    <row r="745" spans="1:5" x14ac:dyDescent="0.3">
      <c r="A745" s="7">
        <v>94</v>
      </c>
      <c r="B745" s="7" t="s">
        <v>142</v>
      </c>
      <c r="C745" s="7">
        <v>3</v>
      </c>
      <c r="D745" s="10">
        <v>1000</v>
      </c>
      <c r="E745" s="8">
        <v>0.27350780149999998</v>
      </c>
    </row>
    <row r="746" spans="1:5" x14ac:dyDescent="0.3">
      <c r="A746" s="5">
        <v>95</v>
      </c>
      <c r="B746" s="5" t="s">
        <v>143</v>
      </c>
      <c r="C746" s="5">
        <v>-4</v>
      </c>
      <c r="D746" s="9">
        <v>1E-4</v>
      </c>
      <c r="E746" s="6">
        <v>0.31988298549999999</v>
      </c>
    </row>
    <row r="747" spans="1:5" x14ac:dyDescent="0.3">
      <c r="A747" s="7">
        <v>95</v>
      </c>
      <c r="B747" s="7" t="s">
        <v>143</v>
      </c>
      <c r="C747" s="7">
        <v>-3</v>
      </c>
      <c r="D747" s="10">
        <v>1E-3</v>
      </c>
      <c r="E747" s="8">
        <v>0.56495255659999999</v>
      </c>
    </row>
    <row r="748" spans="1:5" x14ac:dyDescent="0.3">
      <c r="A748" s="5">
        <v>95</v>
      </c>
      <c r="B748" s="5" t="s">
        <v>143</v>
      </c>
      <c r="C748" s="5">
        <v>-2</v>
      </c>
      <c r="D748" s="9">
        <v>0.01</v>
      </c>
      <c r="E748" s="6">
        <v>0.43114162550000001</v>
      </c>
    </row>
    <row r="749" spans="1:5" x14ac:dyDescent="0.3">
      <c r="A749" s="7">
        <v>95</v>
      </c>
      <c r="B749" s="7" t="s">
        <v>143</v>
      </c>
      <c r="C749" s="7">
        <v>-1</v>
      </c>
      <c r="D749" s="10">
        <v>0.1</v>
      </c>
      <c r="E749" s="8">
        <v>-0.31723120690000001</v>
      </c>
    </row>
    <row r="750" spans="1:5" x14ac:dyDescent="0.3">
      <c r="A750" s="5">
        <v>95</v>
      </c>
      <c r="B750" s="5" t="s">
        <v>143</v>
      </c>
      <c r="C750" s="5">
        <v>0</v>
      </c>
      <c r="D750" s="9">
        <v>1</v>
      </c>
      <c r="E750" s="6">
        <v>-0.51435086949999997</v>
      </c>
    </row>
    <row r="751" spans="1:5" x14ac:dyDescent="0.3">
      <c r="A751" s="7">
        <v>95</v>
      </c>
      <c r="B751" s="7" t="s">
        <v>143</v>
      </c>
      <c r="C751" s="7">
        <v>1</v>
      </c>
      <c r="D751" s="10">
        <v>10</v>
      </c>
      <c r="E751" s="8">
        <v>-0.50710179150000001</v>
      </c>
    </row>
    <row r="752" spans="1:5" x14ac:dyDescent="0.3">
      <c r="A752" s="5">
        <v>95</v>
      </c>
      <c r="B752" s="5" t="s">
        <v>143</v>
      </c>
      <c r="C752" s="5">
        <v>2</v>
      </c>
      <c r="D752" s="9">
        <v>100</v>
      </c>
      <c r="E752" s="6">
        <v>-0.51672045789999999</v>
      </c>
    </row>
    <row r="753" spans="1:5" x14ac:dyDescent="0.3">
      <c r="A753" s="7">
        <v>95</v>
      </c>
      <c r="B753" s="7" t="s">
        <v>143</v>
      </c>
      <c r="C753" s="7">
        <v>3</v>
      </c>
      <c r="D753" s="10">
        <v>1000</v>
      </c>
      <c r="E753" s="8">
        <v>-0.51813931660000001</v>
      </c>
    </row>
    <row r="754" spans="1:5" x14ac:dyDescent="0.3">
      <c r="A754" s="5">
        <v>96</v>
      </c>
      <c r="B754" s="5" t="s">
        <v>144</v>
      </c>
      <c r="C754" s="5">
        <v>-4</v>
      </c>
      <c r="D754" s="9">
        <v>1E-4</v>
      </c>
      <c r="E754" s="6">
        <v>0.44093781250000003</v>
      </c>
    </row>
    <row r="755" spans="1:5" x14ac:dyDescent="0.3">
      <c r="A755" s="7">
        <v>96</v>
      </c>
      <c r="B755" s="7" t="s">
        <v>144</v>
      </c>
      <c r="C755" s="7">
        <v>-3</v>
      </c>
      <c r="D755" s="10">
        <v>1E-3</v>
      </c>
      <c r="E755" s="8">
        <v>0.61599999689999996</v>
      </c>
    </row>
    <row r="756" spans="1:5" x14ac:dyDescent="0.3">
      <c r="A756" s="5">
        <v>96</v>
      </c>
      <c r="B756" s="5" t="s">
        <v>144</v>
      </c>
      <c r="C756" s="5">
        <v>-2</v>
      </c>
      <c r="D756" s="9">
        <v>0.01</v>
      </c>
      <c r="E756" s="6">
        <v>0.82092266560000005</v>
      </c>
    </row>
    <row r="757" spans="1:5" x14ac:dyDescent="0.3">
      <c r="A757" s="7">
        <v>96</v>
      </c>
      <c r="B757" s="7" t="s">
        <v>144</v>
      </c>
      <c r="C757" s="7">
        <v>-1</v>
      </c>
      <c r="D757" s="10">
        <v>0.1</v>
      </c>
      <c r="E757" s="8">
        <v>0.36242858080000001</v>
      </c>
    </row>
    <row r="758" spans="1:5" x14ac:dyDescent="0.3">
      <c r="A758" s="5">
        <v>96</v>
      </c>
      <c r="B758" s="5" t="s">
        <v>144</v>
      </c>
      <c r="C758" s="5">
        <v>0</v>
      </c>
      <c r="D758" s="9">
        <v>1</v>
      </c>
      <c r="E758" s="6">
        <v>0.1543877135</v>
      </c>
    </row>
    <row r="759" spans="1:5" x14ac:dyDescent="0.3">
      <c r="A759" s="7">
        <v>96</v>
      </c>
      <c r="B759" s="7" t="s">
        <v>144</v>
      </c>
      <c r="C759" s="7">
        <v>1</v>
      </c>
      <c r="D759" s="10">
        <v>10</v>
      </c>
      <c r="E759" s="8">
        <v>0.13562818660000001</v>
      </c>
    </row>
    <row r="760" spans="1:5" x14ac:dyDescent="0.3">
      <c r="A760" s="5">
        <v>96</v>
      </c>
      <c r="B760" s="5" t="s">
        <v>144</v>
      </c>
      <c r="C760" s="5">
        <v>2</v>
      </c>
      <c r="D760" s="9">
        <v>100</v>
      </c>
      <c r="E760" s="6">
        <v>0.1369402102</v>
      </c>
    </row>
    <row r="761" spans="1:5" x14ac:dyDescent="0.3">
      <c r="A761" s="7">
        <v>96</v>
      </c>
      <c r="B761" s="7" t="s">
        <v>144</v>
      </c>
      <c r="C761" s="7">
        <v>3</v>
      </c>
      <c r="D761" s="10">
        <v>1000</v>
      </c>
      <c r="E761" s="8">
        <v>0.1373189225</v>
      </c>
    </row>
    <row r="762" spans="1:5" x14ac:dyDescent="0.3">
      <c r="A762" s="5">
        <v>97</v>
      </c>
      <c r="B762" s="5" t="s">
        <v>145</v>
      </c>
      <c r="C762" s="5">
        <v>-4</v>
      </c>
      <c r="D762" s="9">
        <v>1E-4</v>
      </c>
      <c r="E762" s="6">
        <v>0.64761847579999998</v>
      </c>
    </row>
    <row r="763" spans="1:5" x14ac:dyDescent="0.3">
      <c r="A763" s="7">
        <v>97</v>
      </c>
      <c r="B763" s="7" t="s">
        <v>145</v>
      </c>
      <c r="C763" s="7">
        <v>-3</v>
      </c>
      <c r="D763" s="10">
        <v>1E-3</v>
      </c>
      <c r="E763" s="8">
        <v>0.76029768239999995</v>
      </c>
    </row>
    <row r="764" spans="1:5" x14ac:dyDescent="0.3">
      <c r="A764" s="5">
        <v>97</v>
      </c>
      <c r="B764" s="5" t="s">
        <v>145</v>
      </c>
      <c r="C764" s="5">
        <v>-2</v>
      </c>
      <c r="D764" s="9">
        <v>0.01</v>
      </c>
      <c r="E764" s="6">
        <v>0.61419084820000003</v>
      </c>
    </row>
    <row r="765" spans="1:5" x14ac:dyDescent="0.3">
      <c r="A765" s="7">
        <v>97</v>
      </c>
      <c r="B765" s="7" t="s">
        <v>145</v>
      </c>
      <c r="C765" s="7">
        <v>-1</v>
      </c>
      <c r="D765" s="10">
        <v>0.1</v>
      </c>
      <c r="E765" s="8">
        <v>0.30833565860000001</v>
      </c>
    </row>
    <row r="766" spans="1:5" x14ac:dyDescent="0.3">
      <c r="A766" s="5">
        <v>97</v>
      </c>
      <c r="B766" s="5" t="s">
        <v>145</v>
      </c>
      <c r="C766" s="5">
        <v>0</v>
      </c>
      <c r="D766" s="9">
        <v>1</v>
      </c>
      <c r="E766" s="6">
        <v>0.20880146550000001</v>
      </c>
    </row>
    <row r="767" spans="1:5" x14ac:dyDescent="0.3">
      <c r="A767" s="7">
        <v>97</v>
      </c>
      <c r="B767" s="7" t="s">
        <v>145</v>
      </c>
      <c r="C767" s="7">
        <v>1</v>
      </c>
      <c r="D767" s="10">
        <v>10</v>
      </c>
      <c r="E767" s="8">
        <v>0.20009623870000001</v>
      </c>
    </row>
    <row r="768" spans="1:5" x14ac:dyDescent="0.3">
      <c r="A768" s="5">
        <v>97</v>
      </c>
      <c r="B768" s="5" t="s">
        <v>145</v>
      </c>
      <c r="C768" s="5">
        <v>2</v>
      </c>
      <c r="D768" s="9">
        <v>100</v>
      </c>
      <c r="E768" s="6">
        <v>0.20036846689999999</v>
      </c>
    </row>
    <row r="769" spans="1:5" x14ac:dyDescent="0.3">
      <c r="A769" s="7">
        <v>97</v>
      </c>
      <c r="B769" s="7" t="s">
        <v>145</v>
      </c>
      <c r="C769" s="7">
        <v>3</v>
      </c>
      <c r="D769" s="10">
        <v>1000</v>
      </c>
      <c r="E769" s="8">
        <v>0.19992401809999999</v>
      </c>
    </row>
    <row r="770" spans="1:5" x14ac:dyDescent="0.3">
      <c r="A770" s="5">
        <v>98</v>
      </c>
      <c r="B770" s="5" t="s">
        <v>146</v>
      </c>
      <c r="C770" s="5">
        <v>-4</v>
      </c>
      <c r="D770" s="9">
        <v>1E-4</v>
      </c>
      <c r="E770" s="6">
        <v>0.63014407930000005</v>
      </c>
    </row>
    <row r="771" spans="1:5" x14ac:dyDescent="0.3">
      <c r="A771" s="7">
        <v>98</v>
      </c>
      <c r="B771" s="7" t="s">
        <v>146</v>
      </c>
      <c r="C771" s="7">
        <v>-3</v>
      </c>
      <c r="D771" s="10">
        <v>1E-3</v>
      </c>
      <c r="E771" s="8">
        <v>0.73087257159999997</v>
      </c>
    </row>
    <row r="772" spans="1:5" x14ac:dyDescent="0.3">
      <c r="A772" s="5">
        <v>98</v>
      </c>
      <c r="B772" s="5" t="s">
        <v>146</v>
      </c>
      <c r="C772" s="5">
        <v>-2</v>
      </c>
      <c r="D772" s="9">
        <v>0.01</v>
      </c>
      <c r="E772" s="6">
        <v>0.58624542589999995</v>
      </c>
    </row>
    <row r="773" spans="1:5" x14ac:dyDescent="0.3">
      <c r="A773" s="7">
        <v>98</v>
      </c>
      <c r="B773" s="7" t="s">
        <v>146</v>
      </c>
      <c r="C773" s="7">
        <v>-1</v>
      </c>
      <c r="D773" s="10">
        <v>0.1</v>
      </c>
      <c r="E773" s="8">
        <v>-0.26322375799999997</v>
      </c>
    </row>
    <row r="774" spans="1:5" x14ac:dyDescent="0.3">
      <c r="A774" s="5">
        <v>98</v>
      </c>
      <c r="B774" s="5" t="s">
        <v>146</v>
      </c>
      <c r="C774" s="5">
        <v>0</v>
      </c>
      <c r="D774" s="9">
        <v>1</v>
      </c>
      <c r="E774" s="6">
        <v>-0.62018162210000005</v>
      </c>
    </row>
    <row r="775" spans="1:5" x14ac:dyDescent="0.3">
      <c r="A775" s="7">
        <v>98</v>
      </c>
      <c r="B775" s="7" t="s">
        <v>146</v>
      </c>
      <c r="C775" s="7">
        <v>1</v>
      </c>
      <c r="D775" s="10">
        <v>10</v>
      </c>
      <c r="E775" s="8">
        <v>-0.64417626130000005</v>
      </c>
    </row>
    <row r="776" spans="1:5" x14ac:dyDescent="0.3">
      <c r="A776" s="5">
        <v>98</v>
      </c>
      <c r="B776" s="5" t="s">
        <v>146</v>
      </c>
      <c r="C776" s="5">
        <v>2</v>
      </c>
      <c r="D776" s="9">
        <v>100</v>
      </c>
      <c r="E776" s="6">
        <v>-0.64938299310000003</v>
      </c>
    </row>
    <row r="777" spans="1:5" x14ac:dyDescent="0.3">
      <c r="A777" s="7">
        <v>98</v>
      </c>
      <c r="B777" s="7" t="s">
        <v>146</v>
      </c>
      <c r="C777" s="7">
        <v>3</v>
      </c>
      <c r="D777" s="10">
        <v>1000</v>
      </c>
      <c r="E777" s="8">
        <v>-0.64677186320000002</v>
      </c>
    </row>
    <row r="778" spans="1:5" x14ac:dyDescent="0.3">
      <c r="A778" s="5">
        <v>99</v>
      </c>
      <c r="B778" s="5" t="s">
        <v>147</v>
      </c>
      <c r="C778" s="5">
        <v>-4</v>
      </c>
      <c r="D778" s="9">
        <v>1E-4</v>
      </c>
      <c r="E778" s="6">
        <v>0.59355874040000001</v>
      </c>
    </row>
    <row r="779" spans="1:5" x14ac:dyDescent="0.3">
      <c r="A779" s="7">
        <v>99</v>
      </c>
      <c r="B779" s="7" t="s">
        <v>147</v>
      </c>
      <c r="C779" s="7">
        <v>-3</v>
      </c>
      <c r="D779" s="10">
        <v>1E-3</v>
      </c>
      <c r="E779" s="8">
        <v>0.77359055300000001</v>
      </c>
    </row>
    <row r="780" spans="1:5" x14ac:dyDescent="0.3">
      <c r="A780" s="5">
        <v>99</v>
      </c>
      <c r="B780" s="5" t="s">
        <v>147</v>
      </c>
      <c r="C780" s="5">
        <v>-2</v>
      </c>
      <c r="D780" s="9">
        <v>0.01</v>
      </c>
      <c r="E780" s="6">
        <v>0.27179224610000002</v>
      </c>
    </row>
    <row r="781" spans="1:5" x14ac:dyDescent="0.3">
      <c r="A781" s="7">
        <v>99</v>
      </c>
      <c r="B781" s="7" t="s">
        <v>147</v>
      </c>
      <c r="C781" s="7">
        <v>-1</v>
      </c>
      <c r="D781" s="10">
        <v>0.1</v>
      </c>
      <c r="E781" s="8">
        <v>-0.54938344289999996</v>
      </c>
    </row>
    <row r="782" spans="1:5" x14ac:dyDescent="0.3">
      <c r="A782" s="5">
        <v>99</v>
      </c>
      <c r="B782" s="5" t="s">
        <v>147</v>
      </c>
      <c r="C782" s="5">
        <v>0</v>
      </c>
      <c r="D782" s="9">
        <v>1</v>
      </c>
      <c r="E782" s="6">
        <v>-0.80265761670000002</v>
      </c>
    </row>
    <row r="783" spans="1:5" x14ac:dyDescent="0.3">
      <c r="A783" s="7">
        <v>99</v>
      </c>
      <c r="B783" s="7" t="s">
        <v>147</v>
      </c>
      <c r="C783" s="7">
        <v>1</v>
      </c>
      <c r="D783" s="10">
        <v>10</v>
      </c>
      <c r="E783" s="8">
        <v>-0.81438817529999996</v>
      </c>
    </row>
    <row r="784" spans="1:5" x14ac:dyDescent="0.3">
      <c r="A784" s="5">
        <v>99</v>
      </c>
      <c r="B784" s="5" t="s">
        <v>147</v>
      </c>
      <c r="C784" s="5">
        <v>2</v>
      </c>
      <c r="D784" s="9">
        <v>100</v>
      </c>
      <c r="E784" s="6">
        <v>-0.81379019330000002</v>
      </c>
    </row>
    <row r="785" spans="1:5" x14ac:dyDescent="0.3">
      <c r="A785" s="7">
        <v>99</v>
      </c>
      <c r="B785" s="7" t="s">
        <v>147</v>
      </c>
      <c r="C785" s="7">
        <v>3</v>
      </c>
      <c r="D785" s="10">
        <v>1000</v>
      </c>
      <c r="E785" s="8">
        <v>-0.81231015149999997</v>
      </c>
    </row>
    <row r="786" spans="1:5" x14ac:dyDescent="0.3">
      <c r="A786" s="5">
        <v>100</v>
      </c>
      <c r="B786" s="5" t="s">
        <v>148</v>
      </c>
      <c r="C786" s="5">
        <v>-4</v>
      </c>
      <c r="D786" s="9">
        <v>1E-4</v>
      </c>
      <c r="E786" s="6">
        <v>0.48597761499999997</v>
      </c>
    </row>
    <row r="787" spans="1:5" x14ac:dyDescent="0.3">
      <c r="A787" s="7">
        <v>100</v>
      </c>
      <c r="B787" s="7" t="s">
        <v>148</v>
      </c>
      <c r="C787" s="7">
        <v>-3</v>
      </c>
      <c r="D787" s="10">
        <v>1E-3</v>
      </c>
      <c r="E787" s="8">
        <v>0.77098283570000004</v>
      </c>
    </row>
    <row r="788" spans="1:5" x14ac:dyDescent="0.3">
      <c r="A788" s="5">
        <v>100</v>
      </c>
      <c r="B788" s="5" t="s">
        <v>148</v>
      </c>
      <c r="C788" s="5">
        <v>-2</v>
      </c>
      <c r="D788" s="9">
        <v>0.01</v>
      </c>
      <c r="E788" s="6">
        <v>0.9138084568</v>
      </c>
    </row>
    <row r="789" spans="1:5" x14ac:dyDescent="0.3">
      <c r="A789" s="7">
        <v>100</v>
      </c>
      <c r="B789" s="7" t="s">
        <v>148</v>
      </c>
      <c r="C789" s="7">
        <v>-1</v>
      </c>
      <c r="D789" s="10">
        <v>0.1</v>
      </c>
      <c r="E789" s="8">
        <v>0.34829596410000002</v>
      </c>
    </row>
    <row r="790" spans="1:5" x14ac:dyDescent="0.3">
      <c r="A790" s="5">
        <v>100</v>
      </c>
      <c r="B790" s="5" t="s">
        <v>148</v>
      </c>
      <c r="C790" s="5">
        <v>0</v>
      </c>
      <c r="D790" s="9">
        <v>1</v>
      </c>
      <c r="E790" s="6">
        <v>7.0983842999999998E-3</v>
      </c>
    </row>
    <row r="791" spans="1:5" x14ac:dyDescent="0.3">
      <c r="A791" s="7">
        <v>100</v>
      </c>
      <c r="B791" s="7" t="s">
        <v>148</v>
      </c>
      <c r="C791" s="7">
        <v>1</v>
      </c>
      <c r="D791" s="10">
        <v>10</v>
      </c>
      <c r="E791" s="8">
        <v>-1.70061411E-2</v>
      </c>
    </row>
    <row r="792" spans="1:5" x14ac:dyDescent="0.3">
      <c r="A792" s="5">
        <v>100</v>
      </c>
      <c r="B792" s="5" t="s">
        <v>148</v>
      </c>
      <c r="C792" s="5">
        <v>2</v>
      </c>
      <c r="D792" s="9">
        <v>100</v>
      </c>
      <c r="E792" s="6">
        <v>-1.7129847100000001E-2</v>
      </c>
    </row>
    <row r="793" spans="1:5" x14ac:dyDescent="0.3">
      <c r="A793" s="7">
        <v>100</v>
      </c>
      <c r="B793" s="7" t="s">
        <v>148</v>
      </c>
      <c r="C793" s="7">
        <v>3</v>
      </c>
      <c r="D793" s="10">
        <v>1000</v>
      </c>
      <c r="E793" s="8">
        <v>-1.63258984E-2</v>
      </c>
    </row>
    <row r="794" spans="1:5" x14ac:dyDescent="0.3">
      <c r="A794" s="5">
        <v>101</v>
      </c>
      <c r="B794" s="5" t="s">
        <v>149</v>
      </c>
      <c r="C794" s="5">
        <v>-4</v>
      </c>
      <c r="D794" s="9">
        <v>1E-4</v>
      </c>
      <c r="E794" s="6">
        <v>0.4106107725</v>
      </c>
    </row>
    <row r="795" spans="1:5" x14ac:dyDescent="0.3">
      <c r="A795" s="7">
        <v>101</v>
      </c>
      <c r="B795" s="7" t="s">
        <v>149</v>
      </c>
      <c r="C795" s="7">
        <v>-3</v>
      </c>
      <c r="D795" s="10">
        <v>1E-3</v>
      </c>
      <c r="E795" s="8">
        <v>0.78382027249999997</v>
      </c>
    </row>
    <row r="796" spans="1:5" x14ac:dyDescent="0.3">
      <c r="A796" s="5">
        <v>101</v>
      </c>
      <c r="B796" s="5" t="s">
        <v>149</v>
      </c>
      <c r="C796" s="5">
        <v>-2</v>
      </c>
      <c r="D796" s="9">
        <v>0.01</v>
      </c>
      <c r="E796" s="6">
        <v>0.73966148570000001</v>
      </c>
    </row>
    <row r="797" spans="1:5" x14ac:dyDescent="0.3">
      <c r="A797" s="7">
        <v>101</v>
      </c>
      <c r="B797" s="7" t="s">
        <v>149</v>
      </c>
      <c r="C797" s="7">
        <v>-1</v>
      </c>
      <c r="D797" s="10">
        <v>0.1</v>
      </c>
      <c r="E797" s="8">
        <v>-0.1477793111</v>
      </c>
    </row>
    <row r="798" spans="1:5" x14ac:dyDescent="0.3">
      <c r="A798" s="5">
        <v>101</v>
      </c>
      <c r="B798" s="5" t="s">
        <v>149</v>
      </c>
      <c r="C798" s="5">
        <v>0</v>
      </c>
      <c r="D798" s="9">
        <v>1</v>
      </c>
      <c r="E798" s="6">
        <v>-0.44997133169999998</v>
      </c>
    </row>
    <row r="799" spans="1:5" x14ac:dyDescent="0.3">
      <c r="A799" s="7">
        <v>101</v>
      </c>
      <c r="B799" s="7" t="s">
        <v>149</v>
      </c>
      <c r="C799" s="7">
        <v>1</v>
      </c>
      <c r="D799" s="10">
        <v>10</v>
      </c>
      <c r="E799" s="8">
        <v>-0.47660419389999997</v>
      </c>
    </row>
    <row r="800" spans="1:5" x14ac:dyDescent="0.3">
      <c r="A800" s="5">
        <v>101</v>
      </c>
      <c r="B800" s="5" t="s">
        <v>149</v>
      </c>
      <c r="C800" s="5">
        <v>2</v>
      </c>
      <c r="D800" s="9">
        <v>100</v>
      </c>
      <c r="E800" s="6">
        <v>-0.47856173299999999</v>
      </c>
    </row>
    <row r="801" spans="1:5" x14ac:dyDescent="0.3">
      <c r="A801" s="7">
        <v>101</v>
      </c>
      <c r="B801" s="7" t="s">
        <v>149</v>
      </c>
      <c r="C801" s="7">
        <v>3</v>
      </c>
      <c r="D801" s="10">
        <v>1000</v>
      </c>
      <c r="E801" s="8">
        <v>-0.47715173490000001</v>
      </c>
    </row>
    <row r="802" spans="1:5" x14ac:dyDescent="0.3">
      <c r="A802" s="5">
        <v>102</v>
      </c>
      <c r="B802" s="5" t="s">
        <v>150</v>
      </c>
      <c r="C802" s="5">
        <v>-4</v>
      </c>
      <c r="D802" s="9">
        <v>1E-4</v>
      </c>
      <c r="E802" s="6">
        <v>0.4138656288</v>
      </c>
    </row>
    <row r="803" spans="1:5" x14ac:dyDescent="0.3">
      <c r="A803" s="7">
        <v>102</v>
      </c>
      <c r="B803" s="7" t="s">
        <v>150</v>
      </c>
      <c r="C803" s="7">
        <v>-3</v>
      </c>
      <c r="D803" s="10">
        <v>1E-3</v>
      </c>
      <c r="E803" s="8">
        <v>0.67693266299999999</v>
      </c>
    </row>
    <row r="804" spans="1:5" x14ac:dyDescent="0.3">
      <c r="A804" s="5">
        <v>102</v>
      </c>
      <c r="B804" s="5" t="s">
        <v>150</v>
      </c>
      <c r="C804" s="5">
        <v>-2</v>
      </c>
      <c r="D804" s="9">
        <v>0.01</v>
      </c>
      <c r="E804" s="6">
        <v>0.81601685589999995</v>
      </c>
    </row>
    <row r="805" spans="1:5" x14ac:dyDescent="0.3">
      <c r="A805" s="7">
        <v>102</v>
      </c>
      <c r="B805" s="7" t="s">
        <v>150</v>
      </c>
      <c r="C805" s="7">
        <v>-1</v>
      </c>
      <c r="D805" s="10">
        <v>0.1</v>
      </c>
      <c r="E805" s="8">
        <v>0.51216000770000003</v>
      </c>
    </row>
    <row r="806" spans="1:5" x14ac:dyDescent="0.3">
      <c r="A806" s="5">
        <v>102</v>
      </c>
      <c r="B806" s="5" t="s">
        <v>150</v>
      </c>
      <c r="C806" s="5">
        <v>0</v>
      </c>
      <c r="D806" s="9">
        <v>1</v>
      </c>
      <c r="E806" s="6">
        <v>0.38898910539999998</v>
      </c>
    </row>
    <row r="807" spans="1:5" x14ac:dyDescent="0.3">
      <c r="A807" s="7">
        <v>102</v>
      </c>
      <c r="B807" s="7" t="s">
        <v>150</v>
      </c>
      <c r="C807" s="7">
        <v>1</v>
      </c>
      <c r="D807" s="10">
        <v>10</v>
      </c>
      <c r="E807" s="8">
        <v>0.37451592839999998</v>
      </c>
    </row>
    <row r="808" spans="1:5" x14ac:dyDescent="0.3">
      <c r="A808" s="5">
        <v>102</v>
      </c>
      <c r="B808" s="5" t="s">
        <v>150</v>
      </c>
      <c r="C808" s="5">
        <v>2</v>
      </c>
      <c r="D808" s="9">
        <v>100</v>
      </c>
      <c r="E808" s="6">
        <v>0.3741188896</v>
      </c>
    </row>
    <row r="809" spans="1:5" x14ac:dyDescent="0.3">
      <c r="A809" s="7">
        <v>102</v>
      </c>
      <c r="B809" s="7" t="s">
        <v>150</v>
      </c>
      <c r="C809" s="7">
        <v>3</v>
      </c>
      <c r="D809" s="10">
        <v>1000</v>
      </c>
      <c r="E809" s="8">
        <v>0.37642341559999998</v>
      </c>
    </row>
    <row r="810" spans="1:5" x14ac:dyDescent="0.3">
      <c r="A810" s="5">
        <v>103</v>
      </c>
      <c r="B810" s="5" t="s">
        <v>151</v>
      </c>
      <c r="C810" s="5">
        <v>-4</v>
      </c>
      <c r="D810" s="9">
        <v>1E-4</v>
      </c>
      <c r="E810" s="6">
        <v>0.66137665560000003</v>
      </c>
    </row>
    <row r="811" spans="1:5" x14ac:dyDescent="0.3">
      <c r="A811" s="7">
        <v>103</v>
      </c>
      <c r="B811" s="7" t="s">
        <v>151</v>
      </c>
      <c r="C811" s="7">
        <v>-3</v>
      </c>
      <c r="D811" s="10">
        <v>1E-3</v>
      </c>
      <c r="E811" s="8">
        <v>0.77208809349999996</v>
      </c>
    </row>
    <row r="812" spans="1:5" x14ac:dyDescent="0.3">
      <c r="A812" s="5">
        <v>103</v>
      </c>
      <c r="B812" s="5" t="s">
        <v>151</v>
      </c>
      <c r="C812" s="5">
        <v>-2</v>
      </c>
      <c r="D812" s="9">
        <v>0.01</v>
      </c>
      <c r="E812" s="6">
        <v>0.49529121910000001</v>
      </c>
    </row>
    <row r="813" spans="1:5" x14ac:dyDescent="0.3">
      <c r="A813" s="7">
        <v>103</v>
      </c>
      <c r="B813" s="7" t="s">
        <v>151</v>
      </c>
      <c r="C813" s="7">
        <v>-1</v>
      </c>
      <c r="D813" s="10">
        <v>0.1</v>
      </c>
      <c r="E813" s="8">
        <v>-0.155576462</v>
      </c>
    </row>
    <row r="814" spans="1:5" x14ac:dyDescent="0.3">
      <c r="A814" s="5">
        <v>103</v>
      </c>
      <c r="B814" s="5" t="s">
        <v>151</v>
      </c>
      <c r="C814" s="5">
        <v>0</v>
      </c>
      <c r="D814" s="9">
        <v>1</v>
      </c>
      <c r="E814" s="6">
        <v>-0.54199890009999996</v>
      </c>
    </row>
    <row r="815" spans="1:5" x14ac:dyDescent="0.3">
      <c r="A815" s="7">
        <v>103</v>
      </c>
      <c r="B815" s="7" t="s">
        <v>151</v>
      </c>
      <c r="C815" s="7">
        <v>1</v>
      </c>
      <c r="D815" s="10">
        <v>10</v>
      </c>
      <c r="E815" s="8">
        <v>-0.56040036660000003</v>
      </c>
    </row>
    <row r="816" spans="1:5" x14ac:dyDescent="0.3">
      <c r="A816" s="5">
        <v>103</v>
      </c>
      <c r="B816" s="5" t="s">
        <v>151</v>
      </c>
      <c r="C816" s="5">
        <v>2</v>
      </c>
      <c r="D816" s="9">
        <v>100</v>
      </c>
      <c r="E816" s="6">
        <v>-0.56087772690000004</v>
      </c>
    </row>
    <row r="817" spans="1:5" x14ac:dyDescent="0.3">
      <c r="A817" s="7">
        <v>103</v>
      </c>
      <c r="B817" s="7" t="s">
        <v>151</v>
      </c>
      <c r="C817" s="7">
        <v>3</v>
      </c>
      <c r="D817" s="10">
        <v>1000</v>
      </c>
      <c r="E817" s="8">
        <v>-0.55615560040000001</v>
      </c>
    </row>
    <row r="818" spans="1:5" x14ac:dyDescent="0.3">
      <c r="A818" s="5">
        <v>104</v>
      </c>
      <c r="B818" s="5" t="s">
        <v>152</v>
      </c>
      <c r="C818" s="5">
        <v>-4</v>
      </c>
      <c r="D818" s="9">
        <v>1E-4</v>
      </c>
      <c r="E818" s="6">
        <v>0.43205585990000001</v>
      </c>
    </row>
    <row r="819" spans="1:5" x14ac:dyDescent="0.3">
      <c r="A819" s="7">
        <v>104</v>
      </c>
      <c r="B819" s="7" t="s">
        <v>152</v>
      </c>
      <c r="C819" s="7">
        <v>-3</v>
      </c>
      <c r="D819" s="10">
        <v>1E-3</v>
      </c>
      <c r="E819" s="8">
        <v>0.43596012109999999</v>
      </c>
    </row>
    <row r="820" spans="1:5" x14ac:dyDescent="0.3">
      <c r="A820" s="5">
        <v>104</v>
      </c>
      <c r="B820" s="5" t="s">
        <v>152</v>
      </c>
      <c r="C820" s="5">
        <v>-2</v>
      </c>
      <c r="D820" s="9">
        <v>0.01</v>
      </c>
      <c r="E820" s="6">
        <v>0.25573278980000003</v>
      </c>
    </row>
    <row r="821" spans="1:5" x14ac:dyDescent="0.3">
      <c r="A821" s="7">
        <v>104</v>
      </c>
      <c r="B821" s="7" t="s">
        <v>152</v>
      </c>
      <c r="C821" s="7">
        <v>-1</v>
      </c>
      <c r="D821" s="10">
        <v>0.1</v>
      </c>
      <c r="E821" s="8">
        <v>0.2039821718</v>
      </c>
    </row>
    <row r="822" spans="1:5" x14ac:dyDescent="0.3">
      <c r="A822" s="5">
        <v>104</v>
      </c>
      <c r="B822" s="5" t="s">
        <v>152</v>
      </c>
      <c r="C822" s="5">
        <v>0</v>
      </c>
      <c r="D822" s="9">
        <v>1</v>
      </c>
      <c r="E822" s="6">
        <v>0.1792548051</v>
      </c>
    </row>
    <row r="823" spans="1:5" x14ac:dyDescent="0.3">
      <c r="A823" s="7">
        <v>104</v>
      </c>
      <c r="B823" s="7" t="s">
        <v>152</v>
      </c>
      <c r="C823" s="7">
        <v>1</v>
      </c>
      <c r="D823" s="10">
        <v>10</v>
      </c>
      <c r="E823" s="8">
        <v>0.17425998740000001</v>
      </c>
    </row>
    <row r="824" spans="1:5" x14ac:dyDescent="0.3">
      <c r="A824" s="5">
        <v>104</v>
      </c>
      <c r="B824" s="5" t="s">
        <v>152</v>
      </c>
      <c r="C824" s="5">
        <v>2</v>
      </c>
      <c r="D824" s="9">
        <v>100</v>
      </c>
      <c r="E824" s="6">
        <v>0.1742962727</v>
      </c>
    </row>
    <row r="825" spans="1:5" x14ac:dyDescent="0.3">
      <c r="A825" s="7">
        <v>104</v>
      </c>
      <c r="B825" s="7" t="s">
        <v>152</v>
      </c>
      <c r="C825" s="7">
        <v>3</v>
      </c>
      <c r="D825" s="10">
        <v>1000</v>
      </c>
      <c r="E825" s="8">
        <v>0.17425998740000001</v>
      </c>
    </row>
    <row r="826" spans="1:5" x14ac:dyDescent="0.3">
      <c r="A826" s="5">
        <v>105</v>
      </c>
      <c r="B826" s="5" t="s">
        <v>153</v>
      </c>
      <c r="C826" s="5">
        <v>-4</v>
      </c>
      <c r="D826" s="9">
        <v>1E-4</v>
      </c>
      <c r="E826" s="6">
        <v>0.61073424259999998</v>
      </c>
    </row>
    <row r="827" spans="1:5" x14ac:dyDescent="0.3">
      <c r="A827" s="7">
        <v>105</v>
      </c>
      <c r="B827" s="7" t="s">
        <v>153</v>
      </c>
      <c r="C827" s="7">
        <v>-3</v>
      </c>
      <c r="D827" s="10">
        <v>1E-3</v>
      </c>
      <c r="E827" s="8">
        <v>0.83979063490000005</v>
      </c>
    </row>
    <row r="828" spans="1:5" x14ac:dyDescent="0.3">
      <c r="A828" s="5">
        <v>105</v>
      </c>
      <c r="B828" s="5" t="s">
        <v>153</v>
      </c>
      <c r="C828" s="5">
        <v>-2</v>
      </c>
      <c r="D828" s="9">
        <v>0.01</v>
      </c>
      <c r="E828" s="6">
        <v>0.73750235369999995</v>
      </c>
    </row>
    <row r="829" spans="1:5" x14ac:dyDescent="0.3">
      <c r="A829" s="7">
        <v>105</v>
      </c>
      <c r="B829" s="7" t="s">
        <v>153</v>
      </c>
      <c r="C829" s="7">
        <v>-1</v>
      </c>
      <c r="D829" s="10">
        <v>0.1</v>
      </c>
      <c r="E829" s="8">
        <v>0.1639666582</v>
      </c>
    </row>
    <row r="830" spans="1:5" x14ac:dyDescent="0.3">
      <c r="A830" s="5">
        <v>105</v>
      </c>
      <c r="B830" s="5" t="s">
        <v>153</v>
      </c>
      <c r="C830" s="5">
        <v>0</v>
      </c>
      <c r="D830" s="9">
        <v>1</v>
      </c>
      <c r="E830" s="6">
        <v>-2.1510218599999999E-2</v>
      </c>
    </row>
    <row r="831" spans="1:5" x14ac:dyDescent="0.3">
      <c r="A831" s="7">
        <v>105</v>
      </c>
      <c r="B831" s="7" t="s">
        <v>153</v>
      </c>
      <c r="C831" s="7">
        <v>1</v>
      </c>
      <c r="D831" s="10">
        <v>10</v>
      </c>
      <c r="E831" s="8">
        <v>-3.5681404399999998E-2</v>
      </c>
    </row>
    <row r="832" spans="1:5" x14ac:dyDescent="0.3">
      <c r="A832" s="5">
        <v>105</v>
      </c>
      <c r="B832" s="5" t="s">
        <v>153</v>
      </c>
      <c r="C832" s="5">
        <v>2</v>
      </c>
      <c r="D832" s="9">
        <v>100</v>
      </c>
      <c r="E832" s="6">
        <v>-3.6288529E-2</v>
      </c>
    </row>
    <row r="833" spans="1:5" x14ac:dyDescent="0.3">
      <c r="A833" s="7">
        <v>105</v>
      </c>
      <c r="B833" s="7" t="s">
        <v>153</v>
      </c>
      <c r="C833" s="7">
        <v>3</v>
      </c>
      <c r="D833" s="10">
        <v>1000</v>
      </c>
      <c r="E833" s="8">
        <v>-3.5305616599999999E-2</v>
      </c>
    </row>
    <row r="834" spans="1:5" x14ac:dyDescent="0.3">
      <c r="A834" s="5">
        <v>106</v>
      </c>
      <c r="B834" s="5" t="s">
        <v>154</v>
      </c>
      <c r="C834" s="5">
        <v>-4</v>
      </c>
      <c r="D834" s="9">
        <v>1E-4</v>
      </c>
      <c r="E834" s="6">
        <v>0.3183514469</v>
      </c>
    </row>
    <row r="835" spans="1:5" x14ac:dyDescent="0.3">
      <c r="A835" s="7">
        <v>106</v>
      </c>
      <c r="B835" s="7" t="s">
        <v>154</v>
      </c>
      <c r="C835" s="7">
        <v>-3</v>
      </c>
      <c r="D835" s="10">
        <v>1E-3</v>
      </c>
      <c r="E835" s="8">
        <v>0.64573616860000005</v>
      </c>
    </row>
    <row r="836" spans="1:5" x14ac:dyDescent="0.3">
      <c r="A836" s="5">
        <v>106</v>
      </c>
      <c r="B836" s="5" t="s">
        <v>154</v>
      </c>
      <c r="C836" s="5">
        <v>-2</v>
      </c>
      <c r="D836" s="9">
        <v>0.01</v>
      </c>
      <c r="E836" s="6">
        <v>0.85181750219999997</v>
      </c>
    </row>
    <row r="837" spans="1:5" x14ac:dyDescent="0.3">
      <c r="A837" s="7">
        <v>106</v>
      </c>
      <c r="B837" s="7" t="s">
        <v>154</v>
      </c>
      <c r="C837" s="7">
        <v>-1</v>
      </c>
      <c r="D837" s="10">
        <v>0.1</v>
      </c>
      <c r="E837" s="8">
        <v>0.30303148210000003</v>
      </c>
    </row>
    <row r="838" spans="1:5" x14ac:dyDescent="0.3">
      <c r="A838" s="5">
        <v>106</v>
      </c>
      <c r="B838" s="5" t="s">
        <v>154</v>
      </c>
      <c r="C838" s="5">
        <v>0</v>
      </c>
      <c r="D838" s="9">
        <v>1</v>
      </c>
      <c r="E838" s="6">
        <v>-5.4199130300000002E-2</v>
      </c>
    </row>
    <row r="839" spans="1:5" x14ac:dyDescent="0.3">
      <c r="A839" s="7">
        <v>106</v>
      </c>
      <c r="B839" s="7" t="s">
        <v>154</v>
      </c>
      <c r="C839" s="7">
        <v>1</v>
      </c>
      <c r="D839" s="10">
        <v>10</v>
      </c>
      <c r="E839" s="8">
        <v>-6.8209217899999994E-2</v>
      </c>
    </row>
    <row r="840" spans="1:5" x14ac:dyDescent="0.3">
      <c r="A840" s="5">
        <v>106</v>
      </c>
      <c r="B840" s="5" t="s">
        <v>154</v>
      </c>
      <c r="C840" s="5">
        <v>2</v>
      </c>
      <c r="D840" s="9">
        <v>100</v>
      </c>
      <c r="E840" s="6">
        <v>-6.05190751E-2</v>
      </c>
    </row>
    <row r="841" spans="1:5" x14ac:dyDescent="0.3">
      <c r="A841" s="7">
        <v>106</v>
      </c>
      <c r="B841" s="7" t="s">
        <v>154</v>
      </c>
      <c r="C841" s="7">
        <v>3</v>
      </c>
      <c r="D841" s="10">
        <v>1000</v>
      </c>
      <c r="E841" s="8">
        <v>-3.2998410700000001E-2</v>
      </c>
    </row>
    <row r="842" spans="1:5" x14ac:dyDescent="0.3">
      <c r="A842" s="5">
        <v>107</v>
      </c>
      <c r="B842" s="5" t="s">
        <v>155</v>
      </c>
      <c r="C842" s="5">
        <v>-4</v>
      </c>
      <c r="D842" s="9">
        <v>1E-4</v>
      </c>
      <c r="E842" s="6">
        <v>0.51490262419999999</v>
      </c>
    </row>
    <row r="843" spans="1:5" x14ac:dyDescent="0.3">
      <c r="A843" s="7">
        <v>107</v>
      </c>
      <c r="B843" s="7" t="s">
        <v>155</v>
      </c>
      <c r="C843" s="7">
        <v>-3</v>
      </c>
      <c r="D843" s="10">
        <v>1E-3</v>
      </c>
      <c r="E843" s="8">
        <v>0.58689627550000001</v>
      </c>
    </row>
    <row r="844" spans="1:5" x14ac:dyDescent="0.3">
      <c r="A844" s="5">
        <v>107</v>
      </c>
      <c r="B844" s="5" t="s">
        <v>155</v>
      </c>
      <c r="C844" s="5">
        <v>-2</v>
      </c>
      <c r="D844" s="9">
        <v>0.01</v>
      </c>
      <c r="E844" s="6">
        <v>0.70460593130000004</v>
      </c>
    </row>
    <row r="845" spans="1:5" x14ac:dyDescent="0.3">
      <c r="A845" s="7">
        <v>107</v>
      </c>
      <c r="B845" s="7" t="s">
        <v>155</v>
      </c>
      <c r="C845" s="7">
        <v>-1</v>
      </c>
      <c r="D845" s="10">
        <v>0.1</v>
      </c>
      <c r="E845" s="8">
        <v>0.6714951482</v>
      </c>
    </row>
    <row r="846" spans="1:5" x14ac:dyDescent="0.3">
      <c r="A846" s="5">
        <v>107</v>
      </c>
      <c r="B846" s="5" t="s">
        <v>155</v>
      </c>
      <c r="C846" s="5">
        <v>0</v>
      </c>
      <c r="D846" s="9">
        <v>1</v>
      </c>
      <c r="E846" s="6">
        <v>0.58445876009999997</v>
      </c>
    </row>
    <row r="847" spans="1:5" x14ac:dyDescent="0.3">
      <c r="A847" s="7">
        <v>107</v>
      </c>
      <c r="B847" s="7" t="s">
        <v>155</v>
      </c>
      <c r="C847" s="7">
        <v>1</v>
      </c>
      <c r="D847" s="10">
        <v>10</v>
      </c>
      <c r="E847" s="8">
        <v>0.5768838275</v>
      </c>
    </row>
    <row r="848" spans="1:5" x14ac:dyDescent="0.3">
      <c r="A848" s="5">
        <v>107</v>
      </c>
      <c r="B848" s="5" t="s">
        <v>155</v>
      </c>
      <c r="C848" s="5">
        <v>2</v>
      </c>
      <c r="D848" s="9">
        <v>100</v>
      </c>
      <c r="E848" s="6">
        <v>0.57722722370000001</v>
      </c>
    </row>
    <row r="849" spans="1:5" x14ac:dyDescent="0.3">
      <c r="A849" s="7">
        <v>107</v>
      </c>
      <c r="B849" s="7" t="s">
        <v>155</v>
      </c>
      <c r="C849" s="7">
        <v>3</v>
      </c>
      <c r="D849" s="10">
        <v>1000</v>
      </c>
      <c r="E849" s="8">
        <v>0.57573167120000002</v>
      </c>
    </row>
    <row r="850" spans="1:5" x14ac:dyDescent="0.3">
      <c r="A850" s="5">
        <v>108</v>
      </c>
      <c r="B850" s="5" t="s">
        <v>156</v>
      </c>
      <c r="C850" s="5">
        <v>-4</v>
      </c>
      <c r="D850" s="9">
        <v>1E-4</v>
      </c>
      <c r="E850" s="6">
        <v>0.42927940040000001</v>
      </c>
    </row>
    <row r="851" spans="1:5" x14ac:dyDescent="0.3">
      <c r="A851" s="7">
        <v>108</v>
      </c>
      <c r="B851" s="7" t="s">
        <v>156</v>
      </c>
      <c r="C851" s="7">
        <v>-3</v>
      </c>
      <c r="D851" s="10">
        <v>1E-3</v>
      </c>
      <c r="E851" s="8">
        <v>0.66474496989999998</v>
      </c>
    </row>
    <row r="852" spans="1:5" x14ac:dyDescent="0.3">
      <c r="A852" s="5">
        <v>108</v>
      </c>
      <c r="B852" s="5" t="s">
        <v>156</v>
      </c>
      <c r="C852" s="5">
        <v>-2</v>
      </c>
      <c r="D852" s="9">
        <v>0.01</v>
      </c>
      <c r="E852" s="6">
        <v>0.85609723869999999</v>
      </c>
    </row>
    <row r="853" spans="1:5" x14ac:dyDescent="0.3">
      <c r="A853" s="7">
        <v>108</v>
      </c>
      <c r="B853" s="7" t="s">
        <v>156</v>
      </c>
      <c r="C853" s="7">
        <v>-1</v>
      </c>
      <c r="D853" s="10">
        <v>0.1</v>
      </c>
      <c r="E853" s="8">
        <v>0.3300478603</v>
      </c>
    </row>
    <row r="854" spans="1:5" x14ac:dyDescent="0.3">
      <c r="A854" s="5">
        <v>108</v>
      </c>
      <c r="B854" s="5" t="s">
        <v>156</v>
      </c>
      <c r="C854" s="5">
        <v>0</v>
      </c>
      <c r="D854" s="9">
        <v>1</v>
      </c>
      <c r="E854" s="6">
        <v>4.6221440500000002E-2</v>
      </c>
    </row>
    <row r="855" spans="1:5" x14ac:dyDescent="0.3">
      <c r="A855" s="7">
        <v>108</v>
      </c>
      <c r="B855" s="7" t="s">
        <v>156</v>
      </c>
      <c r="C855" s="7">
        <v>1</v>
      </c>
      <c r="D855" s="10">
        <v>10</v>
      </c>
      <c r="E855" s="8">
        <v>2.66576873E-2</v>
      </c>
    </row>
    <row r="856" spans="1:5" x14ac:dyDescent="0.3">
      <c r="A856" s="5">
        <v>108</v>
      </c>
      <c r="B856" s="5" t="s">
        <v>156</v>
      </c>
      <c r="C856" s="5">
        <v>2</v>
      </c>
      <c r="D856" s="9">
        <v>100</v>
      </c>
      <c r="E856" s="6">
        <v>1.8201399699999999E-2</v>
      </c>
    </row>
    <row r="857" spans="1:5" x14ac:dyDescent="0.3">
      <c r="A857" s="7">
        <v>108</v>
      </c>
      <c r="B857" s="7" t="s">
        <v>156</v>
      </c>
      <c r="C857" s="7">
        <v>3</v>
      </c>
      <c r="D857" s="10">
        <v>1000</v>
      </c>
      <c r="E857" s="8">
        <v>1.8976507300000001E-2</v>
      </c>
    </row>
    <row r="858" spans="1:5" x14ac:dyDescent="0.3">
      <c r="A858" s="5">
        <v>109</v>
      </c>
      <c r="B858" s="5" t="s">
        <v>157</v>
      </c>
      <c r="C858" s="5">
        <v>-4</v>
      </c>
      <c r="D858" s="9">
        <v>1E-4</v>
      </c>
      <c r="E858" s="6">
        <v>0.40283872939999998</v>
      </c>
    </row>
    <row r="859" spans="1:5" x14ac:dyDescent="0.3">
      <c r="A859" s="7">
        <v>109</v>
      </c>
      <c r="B859" s="7" t="s">
        <v>157</v>
      </c>
      <c r="C859" s="7">
        <v>-3</v>
      </c>
      <c r="D859" s="10">
        <v>1E-3</v>
      </c>
      <c r="E859" s="8">
        <v>0.78475792690000001</v>
      </c>
    </row>
    <row r="860" spans="1:5" x14ac:dyDescent="0.3">
      <c r="A860" s="5">
        <v>109</v>
      </c>
      <c r="B860" s="5" t="s">
        <v>157</v>
      </c>
      <c r="C860" s="5">
        <v>-2</v>
      </c>
      <c r="D860" s="9">
        <v>0.01</v>
      </c>
      <c r="E860" s="6">
        <v>0.67923231399999995</v>
      </c>
    </row>
    <row r="861" spans="1:5" x14ac:dyDescent="0.3">
      <c r="A861" s="7">
        <v>109</v>
      </c>
      <c r="B861" s="7" t="s">
        <v>157</v>
      </c>
      <c r="C861" s="7">
        <v>-1</v>
      </c>
      <c r="D861" s="10">
        <v>0.1</v>
      </c>
      <c r="E861" s="8">
        <v>7.1096397000000006E-2</v>
      </c>
    </row>
    <row r="862" spans="1:5" x14ac:dyDescent="0.3">
      <c r="A862" s="5">
        <v>109</v>
      </c>
      <c r="B862" s="5" t="s">
        <v>157</v>
      </c>
      <c r="C862" s="5">
        <v>0</v>
      </c>
      <c r="D862" s="9">
        <v>1</v>
      </c>
      <c r="E862" s="6">
        <v>-0.1206159896</v>
      </c>
    </row>
    <row r="863" spans="1:5" x14ac:dyDescent="0.3">
      <c r="A863" s="7">
        <v>109</v>
      </c>
      <c r="B863" s="7" t="s">
        <v>157</v>
      </c>
      <c r="C863" s="7">
        <v>1</v>
      </c>
      <c r="D863" s="10">
        <v>10</v>
      </c>
      <c r="E863" s="8">
        <v>-0.1362668075</v>
      </c>
    </row>
    <row r="864" spans="1:5" x14ac:dyDescent="0.3">
      <c r="A864" s="5">
        <v>109</v>
      </c>
      <c r="B864" s="5" t="s">
        <v>157</v>
      </c>
      <c r="C864" s="5">
        <v>2</v>
      </c>
      <c r="D864" s="9">
        <v>100</v>
      </c>
      <c r="E864" s="6">
        <v>-0.12902529169999999</v>
      </c>
    </row>
    <row r="865" spans="1:5" x14ac:dyDescent="0.3">
      <c r="A865" s="7">
        <v>109</v>
      </c>
      <c r="B865" s="7" t="s">
        <v>157</v>
      </c>
      <c r="C865" s="7">
        <v>3</v>
      </c>
      <c r="D865" s="10">
        <v>1000</v>
      </c>
      <c r="E865" s="8">
        <v>-0.13350622910000001</v>
      </c>
    </row>
    <row r="866" spans="1:5" x14ac:dyDescent="0.3">
      <c r="A866" s="5">
        <v>110</v>
      </c>
      <c r="B866" s="5" t="s">
        <v>158</v>
      </c>
      <c r="C866" s="5">
        <v>-4</v>
      </c>
      <c r="D866" s="9">
        <v>1E-4</v>
      </c>
      <c r="E866" s="6">
        <v>0.46024340990000001</v>
      </c>
    </row>
    <row r="867" spans="1:5" x14ac:dyDescent="0.3">
      <c r="A867" s="7">
        <v>110</v>
      </c>
      <c r="B867" s="7" t="s">
        <v>158</v>
      </c>
      <c r="C867" s="7">
        <v>-3</v>
      </c>
      <c r="D867" s="10">
        <v>1E-3</v>
      </c>
      <c r="E867" s="8">
        <v>0.77462172679999997</v>
      </c>
    </row>
    <row r="868" spans="1:5" x14ac:dyDescent="0.3">
      <c r="A868" s="5">
        <v>110</v>
      </c>
      <c r="B868" s="5" t="s">
        <v>158</v>
      </c>
      <c r="C868" s="5">
        <v>-2</v>
      </c>
      <c r="D868" s="9">
        <v>0.01</v>
      </c>
      <c r="E868" s="6">
        <v>0.63427833570000003</v>
      </c>
    </row>
    <row r="869" spans="1:5" x14ac:dyDescent="0.3">
      <c r="A869" s="7">
        <v>110</v>
      </c>
      <c r="B869" s="7" t="s">
        <v>158</v>
      </c>
      <c r="C869" s="7">
        <v>-1</v>
      </c>
      <c r="D869" s="10">
        <v>0.1</v>
      </c>
      <c r="E869" s="8">
        <v>-0.42498505520000002</v>
      </c>
    </row>
    <row r="870" spans="1:5" x14ac:dyDescent="0.3">
      <c r="A870" s="5">
        <v>110</v>
      </c>
      <c r="B870" s="5" t="s">
        <v>158</v>
      </c>
      <c r="C870" s="5">
        <v>0</v>
      </c>
      <c r="D870" s="9">
        <v>1</v>
      </c>
      <c r="E870" s="6">
        <v>-0.7363531069</v>
      </c>
    </row>
    <row r="871" spans="1:5" x14ac:dyDescent="0.3">
      <c r="A871" s="7">
        <v>110</v>
      </c>
      <c r="B871" s="7" t="s">
        <v>158</v>
      </c>
      <c r="C871" s="7">
        <v>1</v>
      </c>
      <c r="D871" s="10">
        <v>10</v>
      </c>
      <c r="E871" s="8">
        <v>-0.75539978210000003</v>
      </c>
    </row>
    <row r="872" spans="1:5" x14ac:dyDescent="0.3">
      <c r="A872" s="5">
        <v>110</v>
      </c>
      <c r="B872" s="5" t="s">
        <v>158</v>
      </c>
      <c r="C872" s="5">
        <v>2</v>
      </c>
      <c r="D872" s="9">
        <v>100</v>
      </c>
      <c r="E872" s="6">
        <v>-0.75295237059999998</v>
      </c>
    </row>
    <row r="873" spans="1:5" x14ac:dyDescent="0.3">
      <c r="A873" s="7">
        <v>110</v>
      </c>
      <c r="B873" s="7" t="s">
        <v>158</v>
      </c>
      <c r="C873" s="7">
        <v>3</v>
      </c>
      <c r="D873" s="10">
        <v>1000</v>
      </c>
      <c r="E873" s="8">
        <v>-0.75783457809999999</v>
      </c>
    </row>
    <row r="874" spans="1:5" x14ac:dyDescent="0.3">
      <c r="A874" s="5">
        <v>111</v>
      </c>
      <c r="B874" s="5" t="s">
        <v>159</v>
      </c>
      <c r="C874" s="5">
        <v>-4</v>
      </c>
      <c r="D874" s="9">
        <v>1E-4</v>
      </c>
      <c r="E874" s="6">
        <v>0.54445764529999996</v>
      </c>
    </row>
    <row r="875" spans="1:5" x14ac:dyDescent="0.3">
      <c r="A875" s="7">
        <v>111</v>
      </c>
      <c r="B875" s="7" t="s">
        <v>159</v>
      </c>
      <c r="C875" s="7">
        <v>-3</v>
      </c>
      <c r="D875" s="10">
        <v>1E-3</v>
      </c>
      <c r="E875" s="8">
        <v>0.68621149479999999</v>
      </c>
    </row>
    <row r="876" spans="1:5" x14ac:dyDescent="0.3">
      <c r="A876" s="5">
        <v>111</v>
      </c>
      <c r="B876" s="5" t="s">
        <v>159</v>
      </c>
      <c r="C876" s="5">
        <v>-2</v>
      </c>
      <c r="D876" s="9">
        <v>0.01</v>
      </c>
      <c r="E876" s="6">
        <v>0.82260568089999997</v>
      </c>
    </row>
    <row r="877" spans="1:5" x14ac:dyDescent="0.3">
      <c r="A877" s="7">
        <v>111</v>
      </c>
      <c r="B877" s="7" t="s">
        <v>159</v>
      </c>
      <c r="C877" s="7">
        <v>-1</v>
      </c>
      <c r="D877" s="10">
        <v>0.1</v>
      </c>
      <c r="E877" s="8">
        <v>0.44733134740000002</v>
      </c>
    </row>
    <row r="878" spans="1:5" x14ac:dyDescent="0.3">
      <c r="A878" s="5">
        <v>111</v>
      </c>
      <c r="B878" s="5" t="s">
        <v>159</v>
      </c>
      <c r="C878" s="5">
        <v>0</v>
      </c>
      <c r="D878" s="9">
        <v>1</v>
      </c>
      <c r="E878" s="6">
        <v>3.7714669100000001E-2</v>
      </c>
    </row>
    <row r="879" spans="1:5" x14ac:dyDescent="0.3">
      <c r="A879" s="7">
        <v>111</v>
      </c>
      <c r="B879" s="7" t="s">
        <v>159</v>
      </c>
      <c r="C879" s="7">
        <v>1</v>
      </c>
      <c r="D879" s="10">
        <v>10</v>
      </c>
      <c r="E879" s="8">
        <v>6.2558999999999998E-4</v>
      </c>
    </row>
    <row r="880" spans="1:5" x14ac:dyDescent="0.3">
      <c r="A880" s="5">
        <v>111</v>
      </c>
      <c r="B880" s="5" t="s">
        <v>159</v>
      </c>
      <c r="C880" s="5">
        <v>2</v>
      </c>
      <c r="D880" s="9">
        <v>100</v>
      </c>
      <c r="E880" s="6">
        <v>1.0008329E-3</v>
      </c>
    </row>
    <row r="881" spans="1:5" x14ac:dyDescent="0.3">
      <c r="A881" s="7">
        <v>111</v>
      </c>
      <c r="B881" s="7" t="s">
        <v>159</v>
      </c>
      <c r="C881" s="7">
        <v>3</v>
      </c>
      <c r="D881" s="10">
        <v>1000</v>
      </c>
      <c r="E881" s="8">
        <v>1.406895E-3</v>
      </c>
    </row>
    <row r="882" spans="1:5" x14ac:dyDescent="0.3">
      <c r="A882" s="5">
        <v>112</v>
      </c>
      <c r="B882" s="5" t="s">
        <v>160</v>
      </c>
      <c r="C882" s="5">
        <v>-4</v>
      </c>
      <c r="D882" s="9">
        <v>1E-4</v>
      </c>
      <c r="E882" s="6">
        <v>5.8306562999999999E-2</v>
      </c>
    </row>
    <row r="883" spans="1:5" x14ac:dyDescent="0.3">
      <c r="A883" s="7">
        <v>112</v>
      </c>
      <c r="B883" s="7" t="s">
        <v>160</v>
      </c>
      <c r="C883" s="7">
        <v>-3</v>
      </c>
      <c r="D883" s="10">
        <v>1E-3</v>
      </c>
      <c r="E883" s="8">
        <v>0.32286873170000002</v>
      </c>
    </row>
    <row r="884" spans="1:5" x14ac:dyDescent="0.3">
      <c r="A884" s="5">
        <v>112</v>
      </c>
      <c r="B884" s="5" t="s">
        <v>160</v>
      </c>
      <c r="C884" s="5">
        <v>-2</v>
      </c>
      <c r="D884" s="9">
        <v>0.01</v>
      </c>
      <c r="E884" s="6">
        <v>0.83653217869999996</v>
      </c>
    </row>
    <row r="885" spans="1:5" x14ac:dyDescent="0.3">
      <c r="A885" s="7">
        <v>112</v>
      </c>
      <c r="B885" s="7" t="s">
        <v>160</v>
      </c>
      <c r="C885" s="7">
        <v>-1</v>
      </c>
      <c r="D885" s="10">
        <v>0.1</v>
      </c>
      <c r="E885" s="8">
        <v>0.64987443629999997</v>
      </c>
    </row>
    <row r="886" spans="1:5" x14ac:dyDescent="0.3">
      <c r="A886" s="5">
        <v>112</v>
      </c>
      <c r="B886" s="5" t="s">
        <v>160</v>
      </c>
      <c r="C886" s="5">
        <v>0</v>
      </c>
      <c r="D886" s="9">
        <v>1</v>
      </c>
      <c r="E886" s="6">
        <v>0.40210792340000001</v>
      </c>
    </row>
    <row r="887" spans="1:5" x14ac:dyDescent="0.3">
      <c r="A887" s="7">
        <v>112</v>
      </c>
      <c r="B887" s="7" t="s">
        <v>160</v>
      </c>
      <c r="C887" s="7">
        <v>1</v>
      </c>
      <c r="D887" s="10">
        <v>10</v>
      </c>
      <c r="E887" s="8">
        <v>0.36268348709999998</v>
      </c>
    </row>
    <row r="888" spans="1:5" x14ac:dyDescent="0.3">
      <c r="A888" s="5">
        <v>112</v>
      </c>
      <c r="B888" s="5" t="s">
        <v>160</v>
      </c>
      <c r="C888" s="5">
        <v>2</v>
      </c>
      <c r="D888" s="9">
        <v>100</v>
      </c>
      <c r="E888" s="6">
        <v>0.36187382140000002</v>
      </c>
    </row>
    <row r="889" spans="1:5" x14ac:dyDescent="0.3">
      <c r="A889" s="7">
        <v>112</v>
      </c>
      <c r="B889" s="7" t="s">
        <v>160</v>
      </c>
      <c r="C889" s="7">
        <v>3</v>
      </c>
      <c r="D889" s="10">
        <v>1000</v>
      </c>
      <c r="E889" s="8">
        <v>0.36244992310000002</v>
      </c>
    </row>
    <row r="890" spans="1:5" x14ac:dyDescent="0.3">
      <c r="A890" s="5">
        <v>113</v>
      </c>
      <c r="B890" s="5" t="s">
        <v>161</v>
      </c>
      <c r="C890" s="5">
        <v>-4</v>
      </c>
      <c r="D890" s="9">
        <v>1E-4</v>
      </c>
      <c r="E890" s="6">
        <v>0.57729872680000005</v>
      </c>
    </row>
    <row r="891" spans="1:5" x14ac:dyDescent="0.3">
      <c r="A891" s="7">
        <v>113</v>
      </c>
      <c r="B891" s="7" t="s">
        <v>161</v>
      </c>
      <c r="C891" s="7">
        <v>-3</v>
      </c>
      <c r="D891" s="10">
        <v>1E-3</v>
      </c>
      <c r="E891" s="8">
        <v>0.1158293816</v>
      </c>
    </row>
    <row r="892" spans="1:5" x14ac:dyDescent="0.3">
      <c r="A892" s="5">
        <v>113</v>
      </c>
      <c r="B892" s="5" t="s">
        <v>161</v>
      </c>
      <c r="C892" s="5">
        <v>-2</v>
      </c>
      <c r="D892" s="9">
        <v>0.01</v>
      </c>
      <c r="E892" s="6">
        <v>-2.1058464544</v>
      </c>
    </row>
    <row r="893" spans="1:5" x14ac:dyDescent="0.3">
      <c r="A893" s="7">
        <v>113</v>
      </c>
      <c r="B893" s="7" t="s">
        <v>161</v>
      </c>
      <c r="C893" s="7">
        <v>-1</v>
      </c>
      <c r="D893" s="10">
        <v>0.1</v>
      </c>
      <c r="E893" s="8">
        <v>-3.0718011544000001</v>
      </c>
    </row>
    <row r="894" spans="1:5" x14ac:dyDescent="0.3">
      <c r="A894" s="5">
        <v>113</v>
      </c>
      <c r="B894" s="5" t="s">
        <v>161</v>
      </c>
      <c r="C894" s="5">
        <v>0</v>
      </c>
      <c r="D894" s="9">
        <v>1</v>
      </c>
      <c r="E894" s="6">
        <v>-3.2222803872000001</v>
      </c>
    </row>
    <row r="895" spans="1:5" x14ac:dyDescent="0.3">
      <c r="A895" s="7">
        <v>113</v>
      </c>
      <c r="B895" s="7" t="s">
        <v>161</v>
      </c>
      <c r="C895" s="7">
        <v>1</v>
      </c>
      <c r="D895" s="10">
        <v>10</v>
      </c>
      <c r="E895" s="8">
        <v>-3.2257999686000001</v>
      </c>
    </row>
    <row r="896" spans="1:5" x14ac:dyDescent="0.3">
      <c r="A896" s="5">
        <v>113</v>
      </c>
      <c r="B896" s="5" t="s">
        <v>161</v>
      </c>
      <c r="C896" s="5">
        <v>2</v>
      </c>
      <c r="D896" s="9">
        <v>100</v>
      </c>
      <c r="E896" s="6">
        <v>-3.2298889488999998</v>
      </c>
    </row>
    <row r="897" spans="1:5" x14ac:dyDescent="0.3">
      <c r="A897" s="7">
        <v>113</v>
      </c>
      <c r="B897" s="7" t="s">
        <v>161</v>
      </c>
      <c r="C897" s="7">
        <v>3</v>
      </c>
      <c r="D897" s="10">
        <v>1000</v>
      </c>
      <c r="E897" s="8">
        <v>-3.2297953628</v>
      </c>
    </row>
    <row r="898" spans="1:5" x14ac:dyDescent="0.3">
      <c r="A898" s="5">
        <v>114</v>
      </c>
      <c r="B898" s="5" t="s">
        <v>162</v>
      </c>
      <c r="C898" s="5">
        <v>-4</v>
      </c>
      <c r="D898" s="9">
        <v>1E-4</v>
      </c>
      <c r="E898" s="6">
        <v>0.4804044052</v>
      </c>
    </row>
    <row r="899" spans="1:5" x14ac:dyDescent="0.3">
      <c r="A899" s="7">
        <v>114</v>
      </c>
      <c r="B899" s="7" t="s">
        <v>162</v>
      </c>
      <c r="C899" s="7">
        <v>-3</v>
      </c>
      <c r="D899" s="10">
        <v>1E-3</v>
      </c>
      <c r="E899" s="8">
        <v>0.69202791910000006</v>
      </c>
    </row>
    <row r="900" spans="1:5" x14ac:dyDescent="0.3">
      <c r="A900" s="5">
        <v>114</v>
      </c>
      <c r="B900" s="5" t="s">
        <v>162</v>
      </c>
      <c r="C900" s="5">
        <v>-2</v>
      </c>
      <c r="D900" s="9">
        <v>0.01</v>
      </c>
      <c r="E900" s="6">
        <v>0.84551583890000004</v>
      </c>
    </row>
    <row r="901" spans="1:5" x14ac:dyDescent="0.3">
      <c r="A901" s="7">
        <v>114</v>
      </c>
      <c r="B901" s="7" t="s">
        <v>162</v>
      </c>
      <c r="C901" s="7">
        <v>-1</v>
      </c>
      <c r="D901" s="10">
        <v>0.1</v>
      </c>
      <c r="E901" s="8">
        <v>0.22048240129999999</v>
      </c>
    </row>
    <row r="902" spans="1:5" x14ac:dyDescent="0.3">
      <c r="A902" s="5">
        <v>114</v>
      </c>
      <c r="B902" s="5" t="s">
        <v>162</v>
      </c>
      <c r="C902" s="5">
        <v>0</v>
      </c>
      <c r="D902" s="9">
        <v>1</v>
      </c>
      <c r="E902" s="6">
        <v>-2.5655890399999999E-2</v>
      </c>
    </row>
    <row r="903" spans="1:5" x14ac:dyDescent="0.3">
      <c r="A903" s="7">
        <v>114</v>
      </c>
      <c r="B903" s="7" t="s">
        <v>162</v>
      </c>
      <c r="C903" s="7">
        <v>1</v>
      </c>
      <c r="D903" s="10">
        <v>10</v>
      </c>
      <c r="E903" s="8">
        <v>-4.9621622900000002E-2</v>
      </c>
    </row>
    <row r="904" spans="1:5" x14ac:dyDescent="0.3">
      <c r="A904" s="5">
        <v>114</v>
      </c>
      <c r="B904" s="5" t="s">
        <v>162</v>
      </c>
      <c r="C904" s="5">
        <v>2</v>
      </c>
      <c r="D904" s="9">
        <v>100</v>
      </c>
      <c r="E904" s="6">
        <v>-4.94629402E-2</v>
      </c>
    </row>
    <row r="905" spans="1:5" x14ac:dyDescent="0.3">
      <c r="A905" s="7">
        <v>114</v>
      </c>
      <c r="B905" s="7" t="s">
        <v>162</v>
      </c>
      <c r="C905" s="7">
        <v>3</v>
      </c>
      <c r="D905" s="10">
        <v>1000</v>
      </c>
      <c r="E905" s="8">
        <v>-5.0372237600000001E-2</v>
      </c>
    </row>
    <row r="906" spans="1:5" x14ac:dyDescent="0.3">
      <c r="A906" s="5">
        <v>115</v>
      </c>
      <c r="B906" s="5" t="s">
        <v>163</v>
      </c>
      <c r="C906" s="5">
        <v>-4</v>
      </c>
      <c r="D906" s="9">
        <v>1E-4</v>
      </c>
      <c r="E906" s="6">
        <v>8.7559301699999995E-2</v>
      </c>
    </row>
    <row r="907" spans="1:5" x14ac:dyDescent="0.3">
      <c r="A907" s="7">
        <v>115</v>
      </c>
      <c r="B907" s="7" t="s">
        <v>163</v>
      </c>
      <c r="C907" s="7">
        <v>-3</v>
      </c>
      <c r="D907" s="10">
        <v>1E-3</v>
      </c>
      <c r="E907" s="8">
        <v>0.2450194591</v>
      </c>
    </row>
    <row r="908" spans="1:5" x14ac:dyDescent="0.3">
      <c r="A908" s="5">
        <v>115</v>
      </c>
      <c r="B908" s="5" t="s">
        <v>163</v>
      </c>
      <c r="C908" s="5">
        <v>-2</v>
      </c>
      <c r="D908" s="9">
        <v>0.01</v>
      </c>
      <c r="E908" s="6">
        <v>0.74461104789999999</v>
      </c>
    </row>
    <row r="909" spans="1:5" x14ac:dyDescent="0.3">
      <c r="A909" s="7">
        <v>115</v>
      </c>
      <c r="B909" s="7" t="s">
        <v>163</v>
      </c>
      <c r="C909" s="7">
        <v>-1</v>
      </c>
      <c r="D909" s="10">
        <v>0.1</v>
      </c>
      <c r="E909" s="8">
        <v>0.91475495750000002</v>
      </c>
    </row>
    <row r="910" spans="1:5" x14ac:dyDescent="0.3">
      <c r="A910" s="5">
        <v>115</v>
      </c>
      <c r="B910" s="5" t="s">
        <v>163</v>
      </c>
      <c r="C910" s="5">
        <v>0</v>
      </c>
      <c r="D910" s="9">
        <v>1</v>
      </c>
      <c r="E910" s="6">
        <v>0.87645478290000001</v>
      </c>
    </row>
    <row r="911" spans="1:5" x14ac:dyDescent="0.3">
      <c r="A911" s="7">
        <v>115</v>
      </c>
      <c r="B911" s="7" t="s">
        <v>163</v>
      </c>
      <c r="C911" s="7">
        <v>1</v>
      </c>
      <c r="D911" s="10">
        <v>10</v>
      </c>
      <c r="E911" s="8">
        <v>0.86847943360000002</v>
      </c>
    </row>
    <row r="912" spans="1:5" x14ac:dyDescent="0.3">
      <c r="A912" s="5">
        <v>115</v>
      </c>
      <c r="B912" s="5" t="s">
        <v>163</v>
      </c>
      <c r="C912" s="5">
        <v>2</v>
      </c>
      <c r="D912" s="9">
        <v>100</v>
      </c>
      <c r="E912" s="6">
        <v>0.86633654039999997</v>
      </c>
    </row>
    <row r="913" spans="1:5" x14ac:dyDescent="0.3">
      <c r="A913" s="7">
        <v>115</v>
      </c>
      <c r="B913" s="7" t="s">
        <v>163</v>
      </c>
      <c r="C913" s="7">
        <v>3</v>
      </c>
      <c r="D913" s="10">
        <v>1000</v>
      </c>
      <c r="E913" s="8">
        <v>0.86755489399999997</v>
      </c>
    </row>
    <row r="914" spans="1:5" x14ac:dyDescent="0.3">
      <c r="A914" s="5">
        <v>116</v>
      </c>
      <c r="B914" s="5" t="s">
        <v>164</v>
      </c>
      <c r="C914" s="5">
        <v>-4</v>
      </c>
      <c r="D914" s="9">
        <v>1E-4</v>
      </c>
      <c r="E914" s="6">
        <v>0.59018150629999999</v>
      </c>
    </row>
    <row r="915" spans="1:5" x14ac:dyDescent="0.3">
      <c r="A915" s="7">
        <v>116</v>
      </c>
      <c r="B915" s="7" t="s">
        <v>164</v>
      </c>
      <c r="C915" s="7">
        <v>-3</v>
      </c>
      <c r="D915" s="10">
        <v>1E-3</v>
      </c>
      <c r="E915" s="8">
        <v>0.77012998639999997</v>
      </c>
    </row>
    <row r="916" spans="1:5" x14ac:dyDescent="0.3">
      <c r="A916" s="5">
        <v>116</v>
      </c>
      <c r="B916" s="5" t="s">
        <v>164</v>
      </c>
      <c r="C916" s="5">
        <v>-2</v>
      </c>
      <c r="D916" s="9">
        <v>0.01</v>
      </c>
      <c r="E916" s="6">
        <v>-2.5937015300000001E-2</v>
      </c>
    </row>
    <row r="917" spans="1:5" x14ac:dyDescent="0.3">
      <c r="A917" s="7">
        <v>116</v>
      </c>
      <c r="B917" s="7" t="s">
        <v>164</v>
      </c>
      <c r="C917" s="7">
        <v>-1</v>
      </c>
      <c r="D917" s="10">
        <v>0.1</v>
      </c>
      <c r="E917" s="8">
        <v>-1.0438267130000001</v>
      </c>
    </row>
    <row r="918" spans="1:5" x14ac:dyDescent="0.3">
      <c r="A918" s="5">
        <v>116</v>
      </c>
      <c r="B918" s="5" t="s">
        <v>164</v>
      </c>
      <c r="C918" s="5">
        <v>0</v>
      </c>
      <c r="D918" s="9">
        <v>1</v>
      </c>
      <c r="E918" s="6">
        <v>-1.4631869447000001</v>
      </c>
    </row>
    <row r="919" spans="1:5" x14ac:dyDescent="0.3">
      <c r="A919" s="7">
        <v>116</v>
      </c>
      <c r="B919" s="7" t="s">
        <v>164</v>
      </c>
      <c r="C919" s="7">
        <v>1</v>
      </c>
      <c r="D919" s="10">
        <v>10</v>
      </c>
      <c r="E919" s="8">
        <v>-1.4969229616999999</v>
      </c>
    </row>
    <row r="920" spans="1:5" x14ac:dyDescent="0.3">
      <c r="A920" s="5">
        <v>116</v>
      </c>
      <c r="B920" s="5" t="s">
        <v>164</v>
      </c>
      <c r="C920" s="5">
        <v>2</v>
      </c>
      <c r="D920" s="9">
        <v>100</v>
      </c>
      <c r="E920" s="6">
        <v>-1.4669839585</v>
      </c>
    </row>
    <row r="921" spans="1:5" x14ac:dyDescent="0.3">
      <c r="A921" s="7">
        <v>116</v>
      </c>
      <c r="B921" s="7" t="s">
        <v>164</v>
      </c>
      <c r="C921" s="7">
        <v>3</v>
      </c>
      <c r="D921" s="10">
        <v>1000</v>
      </c>
      <c r="E921" s="8">
        <v>-1.5069967748999999</v>
      </c>
    </row>
    <row r="922" spans="1:5" x14ac:dyDescent="0.3">
      <c r="A922" s="5">
        <v>117</v>
      </c>
      <c r="B922" s="5" t="s">
        <v>165</v>
      </c>
      <c r="C922" s="5">
        <v>-4</v>
      </c>
      <c r="D922" s="9">
        <v>1E-4</v>
      </c>
      <c r="E922" s="6">
        <v>0.35204919839999999</v>
      </c>
    </row>
    <row r="923" spans="1:5" x14ac:dyDescent="0.3">
      <c r="A923" s="7">
        <v>117</v>
      </c>
      <c r="B923" s="7" t="s">
        <v>165</v>
      </c>
      <c r="C923" s="7">
        <v>-3</v>
      </c>
      <c r="D923" s="10">
        <v>1E-3</v>
      </c>
      <c r="E923" s="8">
        <v>0.49309289880000001</v>
      </c>
    </row>
    <row r="924" spans="1:5" x14ac:dyDescent="0.3">
      <c r="A924" s="5">
        <v>117</v>
      </c>
      <c r="B924" s="5" t="s">
        <v>165</v>
      </c>
      <c r="C924" s="5">
        <v>-2</v>
      </c>
      <c r="D924" s="9">
        <v>0.01</v>
      </c>
      <c r="E924" s="6">
        <v>0.86858634089999998</v>
      </c>
    </row>
    <row r="925" spans="1:5" x14ac:dyDescent="0.3">
      <c r="A925" s="7">
        <v>117</v>
      </c>
      <c r="B925" s="7" t="s">
        <v>165</v>
      </c>
      <c r="C925" s="7">
        <v>-1</v>
      </c>
      <c r="D925" s="10">
        <v>0.1</v>
      </c>
      <c r="E925" s="8">
        <v>0.90853251079999997</v>
      </c>
    </row>
    <row r="926" spans="1:5" x14ac:dyDescent="0.3">
      <c r="A926" s="5">
        <v>117</v>
      </c>
      <c r="B926" s="5" t="s">
        <v>165</v>
      </c>
      <c r="C926" s="5">
        <v>0</v>
      </c>
      <c r="D926" s="9">
        <v>1</v>
      </c>
      <c r="E926" s="6">
        <v>0.74536249809999999</v>
      </c>
    </row>
    <row r="927" spans="1:5" x14ac:dyDescent="0.3">
      <c r="A927" s="7">
        <v>117</v>
      </c>
      <c r="B927" s="7" t="s">
        <v>165</v>
      </c>
      <c r="C927" s="7">
        <v>1</v>
      </c>
      <c r="D927" s="10">
        <v>10</v>
      </c>
      <c r="E927" s="8">
        <v>0.72985771259999999</v>
      </c>
    </row>
    <row r="928" spans="1:5" x14ac:dyDescent="0.3">
      <c r="A928" s="5">
        <v>117</v>
      </c>
      <c r="B928" s="5" t="s">
        <v>165</v>
      </c>
      <c r="C928" s="5">
        <v>2</v>
      </c>
      <c r="D928" s="9">
        <v>100</v>
      </c>
      <c r="E928" s="6">
        <v>0.73061157259999998</v>
      </c>
    </row>
    <row r="929" spans="1:5" x14ac:dyDescent="0.3">
      <c r="A929" s="7">
        <v>117</v>
      </c>
      <c r="B929" s="7" t="s">
        <v>165</v>
      </c>
      <c r="C929" s="7">
        <v>3</v>
      </c>
      <c r="D929" s="10">
        <v>1000</v>
      </c>
      <c r="E929" s="8">
        <v>0.72987443190000001</v>
      </c>
    </row>
    <row r="930" spans="1:5" x14ac:dyDescent="0.3">
      <c r="A930" s="5">
        <v>118</v>
      </c>
      <c r="B930" s="5" t="s">
        <v>166</v>
      </c>
      <c r="C930" s="5">
        <v>-4</v>
      </c>
      <c r="D930" s="9">
        <v>1E-4</v>
      </c>
      <c r="E930" s="6">
        <v>0.67709798509999997</v>
      </c>
    </row>
    <row r="931" spans="1:5" x14ac:dyDescent="0.3">
      <c r="A931" s="7">
        <v>118</v>
      </c>
      <c r="B931" s="7" t="s">
        <v>166</v>
      </c>
      <c r="C931" s="7">
        <v>-3</v>
      </c>
      <c r="D931" s="10">
        <v>1E-3</v>
      </c>
      <c r="E931" s="8">
        <v>0.8920248221</v>
      </c>
    </row>
    <row r="932" spans="1:5" x14ac:dyDescent="0.3">
      <c r="A932" s="5">
        <v>118</v>
      </c>
      <c r="B932" s="5" t="s">
        <v>166</v>
      </c>
      <c r="C932" s="5">
        <v>-2</v>
      </c>
      <c r="D932" s="9">
        <v>0.01</v>
      </c>
      <c r="E932" s="6">
        <v>0.23470596960000001</v>
      </c>
    </row>
    <row r="933" spans="1:5" x14ac:dyDescent="0.3">
      <c r="A933" s="7">
        <v>118</v>
      </c>
      <c r="B933" s="7" t="s">
        <v>166</v>
      </c>
      <c r="C933" s="7">
        <v>-1</v>
      </c>
      <c r="D933" s="10">
        <v>0.1</v>
      </c>
      <c r="E933" s="8">
        <v>-0.31296187440000001</v>
      </c>
    </row>
    <row r="934" spans="1:5" x14ac:dyDescent="0.3">
      <c r="A934" s="5">
        <v>118</v>
      </c>
      <c r="B934" s="5" t="s">
        <v>166</v>
      </c>
      <c r="C934" s="5">
        <v>0</v>
      </c>
      <c r="D934" s="9">
        <v>1</v>
      </c>
      <c r="E934" s="6">
        <v>-0.48317223920000002</v>
      </c>
    </row>
    <row r="935" spans="1:5" x14ac:dyDescent="0.3">
      <c r="A935" s="7">
        <v>118</v>
      </c>
      <c r="B935" s="7" t="s">
        <v>166</v>
      </c>
      <c r="C935" s="7">
        <v>1</v>
      </c>
      <c r="D935" s="10">
        <v>10</v>
      </c>
      <c r="E935" s="8">
        <v>-0.49554617569999998</v>
      </c>
    </row>
    <row r="936" spans="1:5" x14ac:dyDescent="0.3">
      <c r="A936" s="5">
        <v>118</v>
      </c>
      <c r="B936" s="5" t="s">
        <v>166</v>
      </c>
      <c r="C936" s="5">
        <v>2</v>
      </c>
      <c r="D936" s="9">
        <v>100</v>
      </c>
      <c r="E936" s="6">
        <v>-0.49562600759999997</v>
      </c>
    </row>
    <row r="937" spans="1:5" x14ac:dyDescent="0.3">
      <c r="A937" s="7">
        <v>118</v>
      </c>
      <c r="B937" s="7" t="s">
        <v>166</v>
      </c>
      <c r="C937" s="7">
        <v>3</v>
      </c>
      <c r="D937" s="10">
        <v>1000</v>
      </c>
      <c r="E937" s="8">
        <v>-0.49546547260000001</v>
      </c>
    </row>
    <row r="938" spans="1:5" x14ac:dyDescent="0.3">
      <c r="A938" s="5">
        <v>119</v>
      </c>
      <c r="B938" s="5" t="s">
        <v>167</v>
      </c>
      <c r="C938" s="5">
        <v>-4</v>
      </c>
      <c r="D938" s="9">
        <v>1E-4</v>
      </c>
      <c r="E938" s="6">
        <v>0.51664352820000004</v>
      </c>
    </row>
    <row r="939" spans="1:5" x14ac:dyDescent="0.3">
      <c r="A939" s="7">
        <v>119</v>
      </c>
      <c r="B939" s="7" t="s">
        <v>167</v>
      </c>
      <c r="C939" s="7">
        <v>-3</v>
      </c>
      <c r="D939" s="10">
        <v>1E-3</v>
      </c>
      <c r="E939" s="8">
        <v>0.73006065080000004</v>
      </c>
    </row>
    <row r="940" spans="1:5" x14ac:dyDescent="0.3">
      <c r="A940" s="5">
        <v>119</v>
      </c>
      <c r="B940" s="5" t="s">
        <v>167</v>
      </c>
      <c r="C940" s="5">
        <v>-2</v>
      </c>
      <c r="D940" s="9">
        <v>0.01</v>
      </c>
      <c r="E940" s="6">
        <v>0.66085112219999997</v>
      </c>
    </row>
    <row r="941" spans="1:5" x14ac:dyDescent="0.3">
      <c r="A941" s="7">
        <v>119</v>
      </c>
      <c r="B941" s="7" t="s">
        <v>167</v>
      </c>
      <c r="C941" s="7">
        <v>-1</v>
      </c>
      <c r="D941" s="10">
        <v>0.1</v>
      </c>
      <c r="E941" s="8">
        <v>-2.1957520099999999E-2</v>
      </c>
    </row>
    <row r="942" spans="1:5" x14ac:dyDescent="0.3">
      <c r="A942" s="5">
        <v>119</v>
      </c>
      <c r="B942" s="5" t="s">
        <v>167</v>
      </c>
      <c r="C942" s="5">
        <v>0</v>
      </c>
      <c r="D942" s="9">
        <v>1</v>
      </c>
      <c r="E942" s="6">
        <v>-0.24363613549999999</v>
      </c>
    </row>
    <row r="943" spans="1:5" x14ac:dyDescent="0.3">
      <c r="A943" s="7">
        <v>119</v>
      </c>
      <c r="B943" s="7" t="s">
        <v>167</v>
      </c>
      <c r="C943" s="7">
        <v>1</v>
      </c>
      <c r="D943" s="10">
        <v>10</v>
      </c>
      <c r="E943" s="8">
        <v>-0.26612444889999998</v>
      </c>
    </row>
    <row r="944" spans="1:5" x14ac:dyDescent="0.3">
      <c r="A944" s="5">
        <v>119</v>
      </c>
      <c r="B944" s="5" t="s">
        <v>167</v>
      </c>
      <c r="C944" s="5">
        <v>2</v>
      </c>
      <c r="D944" s="9">
        <v>100</v>
      </c>
      <c r="E944" s="6">
        <v>-0.26197058760000003</v>
      </c>
    </row>
    <row r="945" spans="1:5" x14ac:dyDescent="0.3">
      <c r="A945" s="7">
        <v>119</v>
      </c>
      <c r="B945" s="7" t="s">
        <v>167</v>
      </c>
      <c r="C945" s="7">
        <v>3</v>
      </c>
      <c r="D945" s="10">
        <v>1000</v>
      </c>
      <c r="E945" s="8">
        <v>-0.25749903470000002</v>
      </c>
    </row>
    <row r="946" spans="1:5" x14ac:dyDescent="0.3">
      <c r="A946" s="5">
        <v>120</v>
      </c>
      <c r="B946" s="5" t="s">
        <v>168</v>
      </c>
      <c r="C946" s="5">
        <v>-4</v>
      </c>
      <c r="D946" s="9">
        <v>1E-4</v>
      </c>
      <c r="E946" s="6">
        <v>0.25678178130000001</v>
      </c>
    </row>
    <row r="947" spans="1:5" x14ac:dyDescent="0.3">
      <c r="A947" s="7">
        <v>120</v>
      </c>
      <c r="B947" s="7" t="s">
        <v>168</v>
      </c>
      <c r="C947" s="7">
        <v>-3</v>
      </c>
      <c r="D947" s="10">
        <v>1E-3</v>
      </c>
      <c r="E947" s="8">
        <v>0.35075978419999998</v>
      </c>
    </row>
    <row r="948" spans="1:5" x14ac:dyDescent="0.3">
      <c r="A948" s="5">
        <v>120</v>
      </c>
      <c r="B948" s="5" t="s">
        <v>168</v>
      </c>
      <c r="C948" s="5">
        <v>-2</v>
      </c>
      <c r="D948" s="9">
        <v>0.01</v>
      </c>
      <c r="E948" s="6">
        <v>0.84636264630000002</v>
      </c>
    </row>
    <row r="949" spans="1:5" x14ac:dyDescent="0.3">
      <c r="A949" s="7">
        <v>120</v>
      </c>
      <c r="B949" s="7" t="s">
        <v>168</v>
      </c>
      <c r="C949" s="7">
        <v>-1</v>
      </c>
      <c r="D949" s="10">
        <v>0.1</v>
      </c>
      <c r="E949" s="8">
        <v>0.93998258069999996</v>
      </c>
    </row>
    <row r="950" spans="1:5" x14ac:dyDescent="0.3">
      <c r="A950" s="5">
        <v>120</v>
      </c>
      <c r="B950" s="5" t="s">
        <v>168</v>
      </c>
      <c r="C950" s="5">
        <v>0</v>
      </c>
      <c r="D950" s="9">
        <v>1</v>
      </c>
      <c r="E950" s="6">
        <v>0.90607261679999995</v>
      </c>
    </row>
    <row r="951" spans="1:5" x14ac:dyDescent="0.3">
      <c r="A951" s="7">
        <v>120</v>
      </c>
      <c r="B951" s="7" t="s">
        <v>168</v>
      </c>
      <c r="C951" s="7">
        <v>1</v>
      </c>
      <c r="D951" s="10">
        <v>10</v>
      </c>
      <c r="E951" s="8">
        <v>0.90264545350000003</v>
      </c>
    </row>
    <row r="952" spans="1:5" x14ac:dyDescent="0.3">
      <c r="A952" s="5">
        <v>120</v>
      </c>
      <c r="B952" s="5" t="s">
        <v>168</v>
      </c>
      <c r="C952" s="5">
        <v>2</v>
      </c>
      <c r="D952" s="9">
        <v>100</v>
      </c>
      <c r="E952" s="6">
        <v>0.90263101820000002</v>
      </c>
    </row>
    <row r="953" spans="1:5" x14ac:dyDescent="0.3">
      <c r="A953" s="7">
        <v>120</v>
      </c>
      <c r="B953" s="7" t="s">
        <v>168</v>
      </c>
      <c r="C953" s="7">
        <v>3</v>
      </c>
      <c r="D953" s="10">
        <v>1000</v>
      </c>
      <c r="E953" s="8">
        <v>0.90252625860000002</v>
      </c>
    </row>
    <row r="954" spans="1:5" x14ac:dyDescent="0.3">
      <c r="A954" s="5">
        <v>121</v>
      </c>
      <c r="B954" s="5" t="s">
        <v>169</v>
      </c>
      <c r="C954" s="5">
        <v>-4</v>
      </c>
      <c r="D954" s="9">
        <v>1E-4</v>
      </c>
      <c r="E954" s="6">
        <v>0.32387327659999998</v>
      </c>
    </row>
    <row r="955" spans="1:5" x14ac:dyDescent="0.3">
      <c r="A955" s="7">
        <v>121</v>
      </c>
      <c r="B955" s="7" t="s">
        <v>169</v>
      </c>
      <c r="C955" s="7">
        <v>-3</v>
      </c>
      <c r="D955" s="10">
        <v>1E-3</v>
      </c>
      <c r="E955" s="8">
        <v>0.45032645339999999</v>
      </c>
    </row>
    <row r="956" spans="1:5" x14ac:dyDescent="0.3">
      <c r="A956" s="5">
        <v>121</v>
      </c>
      <c r="B956" s="5" t="s">
        <v>169</v>
      </c>
      <c r="C956" s="5">
        <v>-2</v>
      </c>
      <c r="D956" s="9">
        <v>0.01</v>
      </c>
      <c r="E956" s="6">
        <v>0.7507398045</v>
      </c>
    </row>
    <row r="957" spans="1:5" x14ac:dyDescent="0.3">
      <c r="A957" s="7">
        <v>121</v>
      </c>
      <c r="B957" s="7" t="s">
        <v>169</v>
      </c>
      <c r="C957" s="7">
        <v>-1</v>
      </c>
      <c r="D957" s="10">
        <v>0.1</v>
      </c>
      <c r="E957" s="8">
        <v>0.52952101740000002</v>
      </c>
    </row>
    <row r="958" spans="1:5" x14ac:dyDescent="0.3">
      <c r="A958" s="5">
        <v>121</v>
      </c>
      <c r="B958" s="5" t="s">
        <v>169</v>
      </c>
      <c r="C958" s="5">
        <v>0</v>
      </c>
      <c r="D958" s="9">
        <v>1</v>
      </c>
      <c r="E958" s="6">
        <v>0.39004444440000002</v>
      </c>
    </row>
    <row r="959" spans="1:5" x14ac:dyDescent="0.3">
      <c r="A959" s="7">
        <v>121</v>
      </c>
      <c r="B959" s="7" t="s">
        <v>169</v>
      </c>
      <c r="C959" s="7">
        <v>1</v>
      </c>
      <c r="D959" s="10">
        <v>10</v>
      </c>
      <c r="E959" s="8">
        <v>0.36804149930000002</v>
      </c>
    </row>
    <row r="960" spans="1:5" x14ac:dyDescent="0.3">
      <c r="A960" s="5">
        <v>121</v>
      </c>
      <c r="B960" s="5" t="s">
        <v>169</v>
      </c>
      <c r="C960" s="5">
        <v>2</v>
      </c>
      <c r="D960" s="9">
        <v>100</v>
      </c>
      <c r="E960" s="6">
        <v>0.37372034809999999</v>
      </c>
    </row>
    <row r="961" spans="1:5" x14ac:dyDescent="0.3">
      <c r="A961" s="7">
        <v>121</v>
      </c>
      <c r="B961" s="7" t="s">
        <v>169</v>
      </c>
      <c r="C961" s="7">
        <v>3</v>
      </c>
      <c r="D961" s="10">
        <v>1000</v>
      </c>
      <c r="E961" s="8">
        <v>0.3735534137</v>
      </c>
    </row>
    <row r="962" spans="1:5" x14ac:dyDescent="0.3">
      <c r="A962" s="5">
        <v>122</v>
      </c>
      <c r="B962" s="5" t="s">
        <v>170</v>
      </c>
      <c r="C962" s="5">
        <v>-4</v>
      </c>
      <c r="D962" s="9">
        <v>1E-4</v>
      </c>
      <c r="E962" s="6">
        <v>0.69653950659999997</v>
      </c>
    </row>
    <row r="963" spans="1:5" x14ac:dyDescent="0.3">
      <c r="A963" s="7">
        <v>122</v>
      </c>
      <c r="B963" s="7" t="s">
        <v>170</v>
      </c>
      <c r="C963" s="7">
        <v>-3</v>
      </c>
      <c r="D963" s="10">
        <v>1E-3</v>
      </c>
      <c r="E963" s="8">
        <v>0.8964017192</v>
      </c>
    </row>
    <row r="964" spans="1:5" x14ac:dyDescent="0.3">
      <c r="A964" s="5">
        <v>122</v>
      </c>
      <c r="B964" s="5" t="s">
        <v>170</v>
      </c>
      <c r="C964" s="5">
        <v>-2</v>
      </c>
      <c r="D964" s="9">
        <v>0.01</v>
      </c>
      <c r="E964" s="6">
        <v>0.57499366500000004</v>
      </c>
    </row>
    <row r="965" spans="1:5" x14ac:dyDescent="0.3">
      <c r="A965" s="7">
        <v>122</v>
      </c>
      <c r="B965" s="7" t="s">
        <v>170</v>
      </c>
      <c r="C965" s="7">
        <v>-1</v>
      </c>
      <c r="D965" s="10">
        <v>0.1</v>
      </c>
      <c r="E965" s="8">
        <v>0.1670096401</v>
      </c>
    </row>
    <row r="966" spans="1:5" x14ac:dyDescent="0.3">
      <c r="A966" s="5">
        <v>122</v>
      </c>
      <c r="B966" s="5" t="s">
        <v>170</v>
      </c>
      <c r="C966" s="5">
        <v>0</v>
      </c>
      <c r="D966" s="9">
        <v>1</v>
      </c>
      <c r="E966" s="6">
        <v>-1.6488973099999998E-2</v>
      </c>
    </row>
    <row r="967" spans="1:5" x14ac:dyDescent="0.3">
      <c r="A967" s="7">
        <v>122</v>
      </c>
      <c r="B967" s="7" t="s">
        <v>170</v>
      </c>
      <c r="C967" s="7">
        <v>1</v>
      </c>
      <c r="D967" s="10">
        <v>10</v>
      </c>
      <c r="E967" s="8">
        <v>-3.5819709800000002E-2</v>
      </c>
    </row>
    <row r="968" spans="1:5" x14ac:dyDescent="0.3">
      <c r="A968" s="5">
        <v>122</v>
      </c>
      <c r="B968" s="5" t="s">
        <v>170</v>
      </c>
      <c r="C968" s="5">
        <v>2</v>
      </c>
      <c r="D968" s="9">
        <v>100</v>
      </c>
      <c r="E968" s="6">
        <v>-3.4275865799999999E-2</v>
      </c>
    </row>
    <row r="969" spans="1:5" x14ac:dyDescent="0.3">
      <c r="A969" s="7">
        <v>122</v>
      </c>
      <c r="B969" s="7" t="s">
        <v>170</v>
      </c>
      <c r="C969" s="7">
        <v>3</v>
      </c>
      <c r="D969" s="10">
        <v>1000</v>
      </c>
      <c r="E969" s="8">
        <v>-3.3492523099999998E-2</v>
      </c>
    </row>
    <row r="970" spans="1:5" x14ac:dyDescent="0.3">
      <c r="A970" s="5">
        <v>123</v>
      </c>
      <c r="B970" s="5" t="s">
        <v>171</v>
      </c>
      <c r="C970" s="5">
        <v>-4</v>
      </c>
      <c r="D970" s="9">
        <v>1E-4</v>
      </c>
      <c r="E970" s="6">
        <v>0.5237939747</v>
      </c>
    </row>
    <row r="971" spans="1:5" x14ac:dyDescent="0.3">
      <c r="A971" s="7">
        <v>123</v>
      </c>
      <c r="B971" s="7" t="s">
        <v>171</v>
      </c>
      <c r="C971" s="7">
        <v>-3</v>
      </c>
      <c r="D971" s="10">
        <v>1E-3</v>
      </c>
      <c r="E971" s="8">
        <v>0.64425175150000002</v>
      </c>
    </row>
    <row r="972" spans="1:5" x14ac:dyDescent="0.3">
      <c r="A972" s="5">
        <v>123</v>
      </c>
      <c r="B972" s="5" t="s">
        <v>171</v>
      </c>
      <c r="C972" s="5">
        <v>-2</v>
      </c>
      <c r="D972" s="9">
        <v>0.01</v>
      </c>
      <c r="E972" s="6">
        <v>0.87390532050000003</v>
      </c>
    </row>
    <row r="973" spans="1:5" x14ac:dyDescent="0.3">
      <c r="A973" s="7">
        <v>123</v>
      </c>
      <c r="B973" s="7" t="s">
        <v>171</v>
      </c>
      <c r="C973" s="7">
        <v>-1</v>
      </c>
      <c r="D973" s="10">
        <v>0.1</v>
      </c>
      <c r="E973" s="8">
        <v>0.67015973959999997</v>
      </c>
    </row>
    <row r="974" spans="1:5" x14ac:dyDescent="0.3">
      <c r="A974" s="5">
        <v>123</v>
      </c>
      <c r="B974" s="5" t="s">
        <v>171</v>
      </c>
      <c r="C974" s="5">
        <v>0</v>
      </c>
      <c r="D974" s="9">
        <v>1</v>
      </c>
      <c r="E974" s="6">
        <v>0.3602504694</v>
      </c>
    </row>
    <row r="975" spans="1:5" x14ac:dyDescent="0.3">
      <c r="A975" s="7">
        <v>123</v>
      </c>
      <c r="B975" s="7" t="s">
        <v>171</v>
      </c>
      <c r="C975" s="7">
        <v>1</v>
      </c>
      <c r="D975" s="10">
        <v>10</v>
      </c>
      <c r="E975" s="8">
        <v>0.3327550125</v>
      </c>
    </row>
    <row r="976" spans="1:5" x14ac:dyDescent="0.3">
      <c r="A976" s="5">
        <v>123</v>
      </c>
      <c r="B976" s="5" t="s">
        <v>171</v>
      </c>
      <c r="C976" s="5">
        <v>2</v>
      </c>
      <c r="D976" s="9">
        <v>100</v>
      </c>
      <c r="E976" s="6">
        <v>0.32808672929999999</v>
      </c>
    </row>
    <row r="977" spans="1:5" x14ac:dyDescent="0.3">
      <c r="A977" s="7">
        <v>123</v>
      </c>
      <c r="B977" s="7" t="s">
        <v>171</v>
      </c>
      <c r="C977" s="7">
        <v>3</v>
      </c>
      <c r="D977" s="10">
        <v>1000</v>
      </c>
      <c r="E977" s="8">
        <v>0.3277226211</v>
      </c>
    </row>
    <row r="978" spans="1:5" x14ac:dyDescent="0.3">
      <c r="A978" s="5">
        <v>124</v>
      </c>
      <c r="B978" s="5" t="s">
        <v>172</v>
      </c>
      <c r="C978" s="5">
        <v>-4</v>
      </c>
      <c r="D978" s="9">
        <v>1E-4</v>
      </c>
      <c r="E978" s="6">
        <v>0.59708736829999998</v>
      </c>
    </row>
    <row r="979" spans="1:5" x14ac:dyDescent="0.3">
      <c r="A979" s="7">
        <v>124</v>
      </c>
      <c r="B979" s="7" t="s">
        <v>172</v>
      </c>
      <c r="C979" s="7">
        <v>-3</v>
      </c>
      <c r="D979" s="10">
        <v>1E-3</v>
      </c>
      <c r="E979" s="8">
        <v>0.73504603599999996</v>
      </c>
    </row>
    <row r="980" spans="1:5" x14ac:dyDescent="0.3">
      <c r="A980" s="5">
        <v>124</v>
      </c>
      <c r="B980" s="5" t="s">
        <v>172</v>
      </c>
      <c r="C980" s="5">
        <v>-2</v>
      </c>
      <c r="D980" s="9">
        <v>0.01</v>
      </c>
      <c r="E980" s="6">
        <v>0.1840437902</v>
      </c>
    </row>
    <row r="981" spans="1:5" x14ac:dyDescent="0.3">
      <c r="A981" s="7">
        <v>124</v>
      </c>
      <c r="B981" s="7" t="s">
        <v>172</v>
      </c>
      <c r="C981" s="7">
        <v>-1</v>
      </c>
      <c r="D981" s="10">
        <v>0.1</v>
      </c>
      <c r="E981" s="8">
        <v>-1.1830615875999999</v>
      </c>
    </row>
    <row r="982" spans="1:5" x14ac:dyDescent="0.3">
      <c r="A982" s="5">
        <v>124</v>
      </c>
      <c r="B982" s="5" t="s">
        <v>172</v>
      </c>
      <c r="C982" s="5">
        <v>0</v>
      </c>
      <c r="D982" s="9">
        <v>1</v>
      </c>
      <c r="E982" s="6">
        <v>-1.4768973540000001</v>
      </c>
    </row>
    <row r="983" spans="1:5" x14ac:dyDescent="0.3">
      <c r="A983" s="7">
        <v>124</v>
      </c>
      <c r="B983" s="7" t="s">
        <v>172</v>
      </c>
      <c r="C983" s="7">
        <v>1</v>
      </c>
      <c r="D983" s="10">
        <v>10</v>
      </c>
      <c r="E983" s="8">
        <v>-1.5034183394</v>
      </c>
    </row>
    <row r="984" spans="1:5" x14ac:dyDescent="0.3">
      <c r="A984" s="5">
        <v>124</v>
      </c>
      <c r="B984" s="5" t="s">
        <v>172</v>
      </c>
      <c r="C984" s="5">
        <v>2</v>
      </c>
      <c r="D984" s="9">
        <v>100</v>
      </c>
      <c r="E984" s="6">
        <v>-1.4980488139000001</v>
      </c>
    </row>
    <row r="985" spans="1:5" x14ac:dyDescent="0.3">
      <c r="A985" s="7">
        <v>124</v>
      </c>
      <c r="B985" s="7" t="s">
        <v>172</v>
      </c>
      <c r="C985" s="7">
        <v>3</v>
      </c>
      <c r="D985" s="10">
        <v>1000</v>
      </c>
      <c r="E985" s="8">
        <v>-1.5019096715</v>
      </c>
    </row>
    <row r="986" spans="1:5" x14ac:dyDescent="0.3">
      <c r="A986" s="5">
        <v>125</v>
      </c>
      <c r="B986" s="5" t="s">
        <v>173</v>
      </c>
      <c r="C986" s="5">
        <v>-4</v>
      </c>
      <c r="D986" s="9">
        <v>1E-4</v>
      </c>
      <c r="E986" s="6">
        <v>0.2880252116</v>
      </c>
    </row>
    <row r="987" spans="1:5" x14ac:dyDescent="0.3">
      <c r="A987" s="7">
        <v>125</v>
      </c>
      <c r="B987" s="7" t="s">
        <v>173</v>
      </c>
      <c r="C987" s="7">
        <v>-3</v>
      </c>
      <c r="D987" s="10">
        <v>1E-3</v>
      </c>
      <c r="E987" s="8">
        <v>0.50357402200000001</v>
      </c>
    </row>
    <row r="988" spans="1:5" x14ac:dyDescent="0.3">
      <c r="A988" s="5">
        <v>125</v>
      </c>
      <c r="B988" s="5" t="s">
        <v>173</v>
      </c>
      <c r="C988" s="5">
        <v>-2</v>
      </c>
      <c r="D988" s="9">
        <v>0.01</v>
      </c>
      <c r="E988" s="6">
        <v>0.66558977419999998</v>
      </c>
    </row>
    <row r="989" spans="1:5" x14ac:dyDescent="0.3">
      <c r="A989" s="7">
        <v>125</v>
      </c>
      <c r="B989" s="7" t="s">
        <v>173</v>
      </c>
      <c r="C989" s="7">
        <v>-1</v>
      </c>
      <c r="D989" s="10">
        <v>0.1</v>
      </c>
      <c r="E989" s="8">
        <v>0.14013560850000001</v>
      </c>
    </row>
    <row r="990" spans="1:5" x14ac:dyDescent="0.3">
      <c r="A990" s="5">
        <v>125</v>
      </c>
      <c r="B990" s="5" t="s">
        <v>173</v>
      </c>
      <c r="C990" s="5">
        <v>0</v>
      </c>
      <c r="D990" s="9">
        <v>1</v>
      </c>
      <c r="E990" s="6">
        <v>-5.2301368799999998E-2</v>
      </c>
    </row>
    <row r="991" spans="1:5" x14ac:dyDescent="0.3">
      <c r="A991" s="7">
        <v>125</v>
      </c>
      <c r="B991" s="7" t="s">
        <v>173</v>
      </c>
      <c r="C991" s="7">
        <v>1</v>
      </c>
      <c r="D991" s="10">
        <v>10</v>
      </c>
      <c r="E991" s="8">
        <v>-5.8028202899999999E-2</v>
      </c>
    </row>
    <row r="992" spans="1:5" x14ac:dyDescent="0.3">
      <c r="A992" s="5">
        <v>125</v>
      </c>
      <c r="B992" s="5" t="s">
        <v>173</v>
      </c>
      <c r="C992" s="5">
        <v>2</v>
      </c>
      <c r="D992" s="9">
        <v>100</v>
      </c>
      <c r="E992" s="6">
        <v>-5.6963151099999998E-2</v>
      </c>
    </row>
    <row r="993" spans="1:5" x14ac:dyDescent="0.3">
      <c r="A993" s="7">
        <v>125</v>
      </c>
      <c r="B993" s="7" t="s">
        <v>173</v>
      </c>
      <c r="C993" s="7">
        <v>3</v>
      </c>
      <c r="D993" s="10">
        <v>1000</v>
      </c>
      <c r="E993" s="8">
        <v>-5.9377069900000003E-2</v>
      </c>
    </row>
    <row r="994" spans="1:5" x14ac:dyDescent="0.3">
      <c r="A994" s="5">
        <v>126</v>
      </c>
      <c r="B994" s="5" t="s">
        <v>174</v>
      </c>
      <c r="C994" s="5">
        <v>-4</v>
      </c>
      <c r="D994" s="9">
        <v>1E-4</v>
      </c>
      <c r="E994" s="6">
        <v>0.58760138630000003</v>
      </c>
    </row>
    <row r="995" spans="1:5" x14ac:dyDescent="0.3">
      <c r="A995" s="7">
        <v>126</v>
      </c>
      <c r="B995" s="7" t="s">
        <v>174</v>
      </c>
      <c r="C995" s="7">
        <v>-3</v>
      </c>
      <c r="D995" s="10">
        <v>1E-3</v>
      </c>
      <c r="E995" s="8">
        <v>0.72452974820000005</v>
      </c>
    </row>
    <row r="996" spans="1:5" x14ac:dyDescent="0.3">
      <c r="A996" s="5">
        <v>126</v>
      </c>
      <c r="B996" s="5" t="s">
        <v>174</v>
      </c>
      <c r="C996" s="5">
        <v>-2</v>
      </c>
      <c r="D996" s="9">
        <v>0.01</v>
      </c>
      <c r="E996" s="6">
        <v>0.69359482920000004</v>
      </c>
    </row>
    <row r="997" spans="1:5" x14ac:dyDescent="0.3">
      <c r="A997" s="7">
        <v>126</v>
      </c>
      <c r="B997" s="7" t="s">
        <v>174</v>
      </c>
      <c r="C997" s="7">
        <v>-1</v>
      </c>
      <c r="D997" s="10">
        <v>0.1</v>
      </c>
      <c r="E997" s="8">
        <v>-0.43775335240000002</v>
      </c>
    </row>
    <row r="998" spans="1:5" x14ac:dyDescent="0.3">
      <c r="A998" s="5">
        <v>126</v>
      </c>
      <c r="B998" s="5" t="s">
        <v>174</v>
      </c>
      <c r="C998" s="5">
        <v>0</v>
      </c>
      <c r="D998" s="9">
        <v>1</v>
      </c>
      <c r="E998" s="6">
        <v>-0.68162940029999997</v>
      </c>
    </row>
    <row r="999" spans="1:5" x14ac:dyDescent="0.3">
      <c r="A999" s="7">
        <v>126</v>
      </c>
      <c r="B999" s="7" t="s">
        <v>174</v>
      </c>
      <c r="C999" s="7">
        <v>1</v>
      </c>
      <c r="D999" s="10">
        <v>10</v>
      </c>
      <c r="E999" s="8">
        <v>-0.70713877780000001</v>
      </c>
    </row>
    <row r="1000" spans="1:5" x14ac:dyDescent="0.3">
      <c r="A1000" s="5">
        <v>126</v>
      </c>
      <c r="B1000" s="5" t="s">
        <v>174</v>
      </c>
      <c r="C1000" s="5">
        <v>2</v>
      </c>
      <c r="D1000" s="9">
        <v>100</v>
      </c>
      <c r="E1000" s="6">
        <v>-0.70713877780000001</v>
      </c>
    </row>
    <row r="1001" spans="1:5" x14ac:dyDescent="0.3">
      <c r="A1001" s="7">
        <v>126</v>
      </c>
      <c r="B1001" s="7" t="s">
        <v>174</v>
      </c>
      <c r="C1001" s="7">
        <v>3</v>
      </c>
      <c r="D1001" s="10">
        <v>1000</v>
      </c>
      <c r="E1001" s="8">
        <v>-0.70713877780000001</v>
      </c>
    </row>
    <row r="1002" spans="1:5" x14ac:dyDescent="0.3">
      <c r="A1002" s="5">
        <v>127</v>
      </c>
      <c r="B1002" s="5" t="s">
        <v>175</v>
      </c>
      <c r="C1002" s="5">
        <v>-4</v>
      </c>
      <c r="D1002" s="9">
        <v>1E-4</v>
      </c>
      <c r="E1002" s="6">
        <v>0.42370933630000002</v>
      </c>
    </row>
    <row r="1003" spans="1:5" x14ac:dyDescent="0.3">
      <c r="A1003" s="7">
        <v>127</v>
      </c>
      <c r="B1003" s="7" t="s">
        <v>175</v>
      </c>
      <c r="C1003" s="7">
        <v>-3</v>
      </c>
      <c r="D1003" s="10">
        <v>1E-3</v>
      </c>
      <c r="E1003" s="8">
        <v>0.77263134089999996</v>
      </c>
    </row>
    <row r="1004" spans="1:5" x14ac:dyDescent="0.3">
      <c r="A1004" s="5">
        <v>127</v>
      </c>
      <c r="B1004" s="5" t="s">
        <v>175</v>
      </c>
      <c r="C1004" s="5">
        <v>-2</v>
      </c>
      <c r="D1004" s="9">
        <v>0.01</v>
      </c>
      <c r="E1004" s="6">
        <v>0.87936460009999995</v>
      </c>
    </row>
    <row r="1005" spans="1:5" x14ac:dyDescent="0.3">
      <c r="A1005" s="7">
        <v>127</v>
      </c>
      <c r="B1005" s="7" t="s">
        <v>175</v>
      </c>
      <c r="C1005" s="7">
        <v>-1</v>
      </c>
      <c r="D1005" s="10">
        <v>0.1</v>
      </c>
      <c r="E1005" s="8">
        <v>0.42871378030000001</v>
      </c>
    </row>
    <row r="1006" spans="1:5" x14ac:dyDescent="0.3">
      <c r="A1006" s="5">
        <v>127</v>
      </c>
      <c r="B1006" s="5" t="s">
        <v>175</v>
      </c>
      <c r="C1006" s="5">
        <v>0</v>
      </c>
      <c r="D1006" s="9">
        <v>1</v>
      </c>
      <c r="E1006" s="6">
        <v>0.22990634530000001</v>
      </c>
    </row>
    <row r="1007" spans="1:5" x14ac:dyDescent="0.3">
      <c r="A1007" s="7">
        <v>127</v>
      </c>
      <c r="B1007" s="7" t="s">
        <v>175</v>
      </c>
      <c r="C1007" s="7">
        <v>1</v>
      </c>
      <c r="D1007" s="10">
        <v>10</v>
      </c>
      <c r="E1007" s="8">
        <v>0.21613649530000001</v>
      </c>
    </row>
    <row r="1008" spans="1:5" x14ac:dyDescent="0.3">
      <c r="A1008" s="5">
        <v>127</v>
      </c>
      <c r="B1008" s="5" t="s">
        <v>175</v>
      </c>
      <c r="C1008" s="5">
        <v>2</v>
      </c>
      <c r="D1008" s="9">
        <v>100</v>
      </c>
      <c r="E1008" s="6">
        <v>0.21491311369999999</v>
      </c>
    </row>
    <row r="1009" spans="1:5" x14ac:dyDescent="0.3">
      <c r="A1009" s="7">
        <v>127</v>
      </c>
      <c r="B1009" s="7" t="s">
        <v>175</v>
      </c>
      <c r="C1009" s="7">
        <v>3</v>
      </c>
      <c r="D1009" s="10">
        <v>1000</v>
      </c>
      <c r="E1009" s="8">
        <v>0.21867232410000001</v>
      </c>
    </row>
    <row r="1010" spans="1:5" x14ac:dyDescent="0.3">
      <c r="A1010" s="5">
        <v>128</v>
      </c>
      <c r="B1010" s="5" t="s">
        <v>176</v>
      </c>
      <c r="C1010" s="5">
        <v>-4</v>
      </c>
      <c r="D1010" s="9">
        <v>1E-4</v>
      </c>
      <c r="E1010" s="6">
        <v>0.38683066389999998</v>
      </c>
    </row>
    <row r="1011" spans="1:5" x14ac:dyDescent="0.3">
      <c r="A1011" s="7">
        <v>128</v>
      </c>
      <c r="B1011" s="7" t="s">
        <v>176</v>
      </c>
      <c r="C1011" s="7">
        <v>-3</v>
      </c>
      <c r="D1011" s="10">
        <v>1E-3</v>
      </c>
      <c r="E1011" s="8">
        <v>0.8505370001</v>
      </c>
    </row>
    <row r="1012" spans="1:5" x14ac:dyDescent="0.3">
      <c r="A1012" s="5">
        <v>128</v>
      </c>
      <c r="B1012" s="5" t="s">
        <v>176</v>
      </c>
      <c r="C1012" s="5">
        <v>-2</v>
      </c>
      <c r="D1012" s="9">
        <v>0.01</v>
      </c>
      <c r="E1012" s="6">
        <v>0.60430408339999997</v>
      </c>
    </row>
    <row r="1013" spans="1:5" x14ac:dyDescent="0.3">
      <c r="A1013" s="7">
        <v>128</v>
      </c>
      <c r="B1013" s="7" t="s">
        <v>176</v>
      </c>
      <c r="C1013" s="7">
        <v>-1</v>
      </c>
      <c r="D1013" s="10">
        <v>0.1</v>
      </c>
      <c r="E1013" s="8">
        <v>8.3122226100000002E-2</v>
      </c>
    </row>
    <row r="1014" spans="1:5" x14ac:dyDescent="0.3">
      <c r="A1014" s="5">
        <v>128</v>
      </c>
      <c r="B1014" s="5" t="s">
        <v>176</v>
      </c>
      <c r="C1014" s="5">
        <v>0</v>
      </c>
      <c r="D1014" s="9">
        <v>1</v>
      </c>
      <c r="E1014" s="6">
        <v>-0.120616421</v>
      </c>
    </row>
    <row r="1015" spans="1:5" x14ac:dyDescent="0.3">
      <c r="A1015" s="7">
        <v>128</v>
      </c>
      <c r="B1015" s="7" t="s">
        <v>176</v>
      </c>
      <c r="C1015" s="7">
        <v>1</v>
      </c>
      <c r="D1015" s="10">
        <v>10</v>
      </c>
      <c r="E1015" s="8">
        <v>-0.1421052428</v>
      </c>
    </row>
    <row r="1016" spans="1:5" x14ac:dyDescent="0.3">
      <c r="A1016" s="5">
        <v>128</v>
      </c>
      <c r="B1016" s="5" t="s">
        <v>176</v>
      </c>
      <c r="C1016" s="5">
        <v>2</v>
      </c>
      <c r="D1016" s="9">
        <v>100</v>
      </c>
      <c r="E1016" s="6">
        <v>-0.13393714500000001</v>
      </c>
    </row>
    <row r="1017" spans="1:5" x14ac:dyDescent="0.3">
      <c r="A1017" s="7">
        <v>128</v>
      </c>
      <c r="B1017" s="7" t="s">
        <v>176</v>
      </c>
      <c r="C1017" s="7">
        <v>3</v>
      </c>
      <c r="D1017" s="10">
        <v>1000</v>
      </c>
      <c r="E1017" s="8">
        <v>-0.14736559339999999</v>
      </c>
    </row>
    <row r="1018" spans="1:5" x14ac:dyDescent="0.3">
      <c r="A1018" s="5">
        <v>129</v>
      </c>
      <c r="B1018" s="5" t="s">
        <v>177</v>
      </c>
      <c r="C1018" s="5">
        <v>-4</v>
      </c>
      <c r="D1018" s="9">
        <v>1E-4</v>
      </c>
      <c r="E1018" s="6">
        <v>0.69414115350000005</v>
      </c>
    </row>
    <row r="1019" spans="1:5" x14ac:dyDescent="0.3">
      <c r="A1019" s="7">
        <v>129</v>
      </c>
      <c r="B1019" s="7" t="s">
        <v>177</v>
      </c>
      <c r="C1019" s="7">
        <v>-3</v>
      </c>
      <c r="D1019" s="10">
        <v>1E-3</v>
      </c>
      <c r="E1019" s="8">
        <v>0.81074133709999996</v>
      </c>
    </row>
    <row r="1020" spans="1:5" x14ac:dyDescent="0.3">
      <c r="A1020" s="5">
        <v>129</v>
      </c>
      <c r="B1020" s="5" t="s">
        <v>177</v>
      </c>
      <c r="C1020" s="5">
        <v>-2</v>
      </c>
      <c r="D1020" s="9">
        <v>0.01</v>
      </c>
      <c r="E1020" s="6">
        <v>0.69568066679999996</v>
      </c>
    </row>
    <row r="1021" spans="1:5" x14ac:dyDescent="0.3">
      <c r="A1021" s="7">
        <v>129</v>
      </c>
      <c r="B1021" s="7" t="s">
        <v>177</v>
      </c>
      <c r="C1021" s="7">
        <v>-1</v>
      </c>
      <c r="D1021" s="10">
        <v>0.1</v>
      </c>
      <c r="E1021" s="8">
        <v>0.36303285349999997</v>
      </c>
    </row>
    <row r="1022" spans="1:5" x14ac:dyDescent="0.3">
      <c r="A1022" s="5">
        <v>129</v>
      </c>
      <c r="B1022" s="5" t="s">
        <v>177</v>
      </c>
      <c r="C1022" s="5">
        <v>0</v>
      </c>
      <c r="D1022" s="9">
        <v>1</v>
      </c>
      <c r="E1022" s="6">
        <v>0.2852505199</v>
      </c>
    </row>
    <row r="1023" spans="1:5" x14ac:dyDescent="0.3">
      <c r="A1023" s="7">
        <v>129</v>
      </c>
      <c r="B1023" s="7" t="s">
        <v>177</v>
      </c>
      <c r="C1023" s="7">
        <v>1</v>
      </c>
      <c r="D1023" s="10">
        <v>10</v>
      </c>
      <c r="E1023" s="8">
        <v>0.27816577219999999</v>
      </c>
    </row>
    <row r="1024" spans="1:5" x14ac:dyDescent="0.3">
      <c r="A1024" s="5">
        <v>129</v>
      </c>
      <c r="B1024" s="5" t="s">
        <v>177</v>
      </c>
      <c r="C1024" s="5">
        <v>2</v>
      </c>
      <c r="D1024" s="9">
        <v>100</v>
      </c>
      <c r="E1024" s="6">
        <v>0.27816577219999999</v>
      </c>
    </row>
    <row r="1025" spans="1:5" x14ac:dyDescent="0.3">
      <c r="A1025" s="7">
        <v>129</v>
      </c>
      <c r="B1025" s="7" t="s">
        <v>177</v>
      </c>
      <c r="C1025" s="7">
        <v>3</v>
      </c>
      <c r="D1025" s="10">
        <v>1000</v>
      </c>
      <c r="E1025" s="8">
        <v>0.27814717389999999</v>
      </c>
    </row>
    <row r="1026" spans="1:5" x14ac:dyDescent="0.3">
      <c r="A1026" s="5">
        <v>130</v>
      </c>
      <c r="B1026" s="5" t="s">
        <v>178</v>
      </c>
      <c r="C1026" s="5">
        <v>-4</v>
      </c>
      <c r="D1026" s="9">
        <v>1E-4</v>
      </c>
      <c r="E1026" s="6">
        <v>0.63708335289999996</v>
      </c>
    </row>
    <row r="1027" spans="1:5" x14ac:dyDescent="0.3">
      <c r="A1027" s="7">
        <v>130</v>
      </c>
      <c r="B1027" s="7" t="s">
        <v>178</v>
      </c>
      <c r="C1027" s="7">
        <v>-3</v>
      </c>
      <c r="D1027" s="10">
        <v>1E-3</v>
      </c>
      <c r="E1027" s="8">
        <v>0.73739548119999998</v>
      </c>
    </row>
    <row r="1028" spans="1:5" x14ac:dyDescent="0.3">
      <c r="A1028" s="5">
        <v>130</v>
      </c>
      <c r="B1028" s="5" t="s">
        <v>178</v>
      </c>
      <c r="C1028" s="5">
        <v>-2</v>
      </c>
      <c r="D1028" s="9">
        <v>0.01</v>
      </c>
      <c r="E1028" s="6">
        <v>0.85311395590000005</v>
      </c>
    </row>
    <row r="1029" spans="1:5" x14ac:dyDescent="0.3">
      <c r="A1029" s="7">
        <v>130</v>
      </c>
      <c r="B1029" s="7" t="s">
        <v>178</v>
      </c>
      <c r="C1029" s="7">
        <v>-1</v>
      </c>
      <c r="D1029" s="10">
        <v>0.1</v>
      </c>
      <c r="E1029" s="8">
        <v>0.3092369942</v>
      </c>
    </row>
    <row r="1030" spans="1:5" x14ac:dyDescent="0.3">
      <c r="A1030" s="5">
        <v>130</v>
      </c>
      <c r="B1030" s="5" t="s">
        <v>178</v>
      </c>
      <c r="C1030" s="5">
        <v>0</v>
      </c>
      <c r="D1030" s="9">
        <v>1</v>
      </c>
      <c r="E1030" s="6">
        <v>3.6634682100000003E-2</v>
      </c>
    </row>
    <row r="1031" spans="1:5" x14ac:dyDescent="0.3">
      <c r="A1031" s="7">
        <v>130</v>
      </c>
      <c r="B1031" s="7" t="s">
        <v>178</v>
      </c>
      <c r="C1031" s="7">
        <v>1</v>
      </c>
      <c r="D1031" s="10">
        <v>10</v>
      </c>
      <c r="E1031" s="8">
        <v>1.8096531799999999E-2</v>
      </c>
    </row>
    <row r="1032" spans="1:5" x14ac:dyDescent="0.3">
      <c r="A1032" s="5">
        <v>130</v>
      </c>
      <c r="B1032" s="5" t="s">
        <v>178</v>
      </c>
      <c r="C1032" s="5">
        <v>2</v>
      </c>
      <c r="D1032" s="9">
        <v>100</v>
      </c>
      <c r="E1032" s="6">
        <v>1.2944508699999999E-2</v>
      </c>
    </row>
    <row r="1033" spans="1:5" x14ac:dyDescent="0.3">
      <c r="A1033" s="7">
        <v>130</v>
      </c>
      <c r="B1033" s="7" t="s">
        <v>178</v>
      </c>
      <c r="C1033" s="7">
        <v>3</v>
      </c>
      <c r="D1033" s="10">
        <v>1000</v>
      </c>
      <c r="E1033" s="8">
        <v>2.5016763000000001E-2</v>
      </c>
    </row>
    <row r="1034" spans="1:5" x14ac:dyDescent="0.3">
      <c r="A1034" s="5">
        <v>131</v>
      </c>
      <c r="B1034" s="5" t="s">
        <v>179</v>
      </c>
      <c r="C1034" s="5">
        <v>-4</v>
      </c>
      <c r="D1034" s="9">
        <v>1E-4</v>
      </c>
      <c r="E1034" s="6">
        <v>0.39479112840000002</v>
      </c>
    </row>
    <row r="1035" spans="1:5" x14ac:dyDescent="0.3">
      <c r="A1035" s="7">
        <v>131</v>
      </c>
      <c r="B1035" s="7" t="s">
        <v>179</v>
      </c>
      <c r="C1035" s="7">
        <v>-3</v>
      </c>
      <c r="D1035" s="10">
        <v>1E-3</v>
      </c>
      <c r="E1035" s="8">
        <v>0.73334688179999996</v>
      </c>
    </row>
    <row r="1036" spans="1:5" x14ac:dyDescent="0.3">
      <c r="A1036" s="5">
        <v>131</v>
      </c>
      <c r="B1036" s="5" t="s">
        <v>179</v>
      </c>
      <c r="C1036" s="5">
        <v>-2</v>
      </c>
      <c r="D1036" s="9">
        <v>0.01</v>
      </c>
      <c r="E1036" s="6">
        <v>0.80280915620000004</v>
      </c>
    </row>
    <row r="1037" spans="1:5" x14ac:dyDescent="0.3">
      <c r="A1037" s="7">
        <v>131</v>
      </c>
      <c r="B1037" s="7" t="s">
        <v>179</v>
      </c>
      <c r="C1037" s="7">
        <v>-1</v>
      </c>
      <c r="D1037" s="10">
        <v>0.1</v>
      </c>
      <c r="E1037" s="8">
        <v>0.53779100619999998</v>
      </c>
    </row>
    <row r="1038" spans="1:5" x14ac:dyDescent="0.3">
      <c r="A1038" s="5">
        <v>131</v>
      </c>
      <c r="B1038" s="5" t="s">
        <v>179</v>
      </c>
      <c r="C1038" s="5">
        <v>0</v>
      </c>
      <c r="D1038" s="9">
        <v>1</v>
      </c>
      <c r="E1038" s="6">
        <v>0.44741143370000003</v>
      </c>
    </row>
    <row r="1039" spans="1:5" x14ac:dyDescent="0.3">
      <c r="A1039" s="7">
        <v>131</v>
      </c>
      <c r="B1039" s="7" t="s">
        <v>179</v>
      </c>
      <c r="C1039" s="7">
        <v>1</v>
      </c>
      <c r="D1039" s="10">
        <v>10</v>
      </c>
      <c r="E1039" s="8">
        <v>0.43834538270000001</v>
      </c>
    </row>
    <row r="1040" spans="1:5" x14ac:dyDescent="0.3">
      <c r="A1040" s="5">
        <v>131</v>
      </c>
      <c r="B1040" s="5" t="s">
        <v>179</v>
      </c>
      <c r="C1040" s="5">
        <v>2</v>
      </c>
      <c r="D1040" s="9">
        <v>100</v>
      </c>
      <c r="E1040" s="6">
        <v>0.4383897102</v>
      </c>
    </row>
    <row r="1041" spans="1:5" x14ac:dyDescent="0.3">
      <c r="A1041" s="7">
        <v>131</v>
      </c>
      <c r="B1041" s="7" t="s">
        <v>179</v>
      </c>
      <c r="C1041" s="7">
        <v>3</v>
      </c>
      <c r="D1041" s="10">
        <v>1000</v>
      </c>
      <c r="E1041" s="8">
        <v>0.4379999819</v>
      </c>
    </row>
    <row r="1042" spans="1:5" x14ac:dyDescent="0.3">
      <c r="A1042" s="5">
        <v>132</v>
      </c>
      <c r="B1042" s="5" t="s">
        <v>180</v>
      </c>
      <c r="C1042" s="5">
        <v>-4</v>
      </c>
      <c r="D1042" s="9">
        <v>1E-4</v>
      </c>
      <c r="E1042" s="6">
        <v>0.47680844150000001</v>
      </c>
    </row>
    <row r="1043" spans="1:5" x14ac:dyDescent="0.3">
      <c r="A1043" s="7">
        <v>132</v>
      </c>
      <c r="B1043" s="7" t="s">
        <v>180</v>
      </c>
      <c r="C1043" s="7">
        <v>-3</v>
      </c>
      <c r="D1043" s="10">
        <v>1E-3</v>
      </c>
      <c r="E1043" s="8">
        <v>0.73272050779999998</v>
      </c>
    </row>
    <row r="1044" spans="1:5" x14ac:dyDescent="0.3">
      <c r="A1044" s="5">
        <v>132</v>
      </c>
      <c r="B1044" s="5" t="s">
        <v>180</v>
      </c>
      <c r="C1044" s="5">
        <v>-2</v>
      </c>
      <c r="D1044" s="9">
        <v>0.01</v>
      </c>
      <c r="E1044" s="6">
        <v>0.5034310421</v>
      </c>
    </row>
    <row r="1045" spans="1:5" x14ac:dyDescent="0.3">
      <c r="A1045" s="7">
        <v>132</v>
      </c>
      <c r="B1045" s="7" t="s">
        <v>180</v>
      </c>
      <c r="C1045" s="7">
        <v>-1</v>
      </c>
      <c r="D1045" s="10">
        <v>0.1</v>
      </c>
      <c r="E1045" s="8">
        <v>-0.83457027319999999</v>
      </c>
    </row>
    <row r="1046" spans="1:5" x14ac:dyDescent="0.3">
      <c r="A1046" s="5">
        <v>132</v>
      </c>
      <c r="B1046" s="5" t="s">
        <v>180</v>
      </c>
      <c r="C1046" s="5">
        <v>0</v>
      </c>
      <c r="D1046" s="9">
        <v>1</v>
      </c>
      <c r="E1046" s="6">
        <v>-1.3674444342000001</v>
      </c>
    </row>
    <row r="1047" spans="1:5" x14ac:dyDescent="0.3">
      <c r="A1047" s="7">
        <v>132</v>
      </c>
      <c r="B1047" s="7" t="s">
        <v>180</v>
      </c>
      <c r="C1047" s="7">
        <v>1</v>
      </c>
      <c r="D1047" s="10">
        <v>10</v>
      </c>
      <c r="E1047" s="8">
        <v>-1.3944114897</v>
      </c>
    </row>
    <row r="1048" spans="1:5" x14ac:dyDescent="0.3">
      <c r="A1048" s="5">
        <v>132</v>
      </c>
      <c r="B1048" s="5" t="s">
        <v>180</v>
      </c>
      <c r="C1048" s="5">
        <v>2</v>
      </c>
      <c r="D1048" s="9">
        <v>100</v>
      </c>
      <c r="E1048" s="6">
        <v>-1.3798945775</v>
      </c>
    </row>
    <row r="1049" spans="1:5" x14ac:dyDescent="0.3">
      <c r="A1049" s="7">
        <v>132</v>
      </c>
      <c r="B1049" s="7" t="s">
        <v>180</v>
      </c>
      <c r="C1049" s="7">
        <v>3</v>
      </c>
      <c r="D1049" s="10">
        <v>1000</v>
      </c>
      <c r="E1049" s="8">
        <v>-1.3985459894000001</v>
      </c>
    </row>
    <row r="1050" spans="1:5" x14ac:dyDescent="0.3">
      <c r="A1050" s="5">
        <v>133</v>
      </c>
      <c r="B1050" s="5" t="s">
        <v>181</v>
      </c>
      <c r="C1050" s="5">
        <v>-4</v>
      </c>
      <c r="D1050" s="9">
        <v>1E-4</v>
      </c>
      <c r="E1050" s="6">
        <v>0.58223975139999995</v>
      </c>
    </row>
    <row r="1051" spans="1:5" x14ac:dyDescent="0.3">
      <c r="A1051" s="7">
        <v>133</v>
      </c>
      <c r="B1051" s="7" t="s">
        <v>181</v>
      </c>
      <c r="C1051" s="7">
        <v>-3</v>
      </c>
      <c r="D1051" s="10">
        <v>1E-3</v>
      </c>
      <c r="E1051" s="8">
        <v>0.82002879930000006</v>
      </c>
    </row>
    <row r="1052" spans="1:5" x14ac:dyDescent="0.3">
      <c r="A1052" s="5">
        <v>133</v>
      </c>
      <c r="B1052" s="5" t="s">
        <v>181</v>
      </c>
      <c r="C1052" s="5">
        <v>-2</v>
      </c>
      <c r="D1052" s="9">
        <v>0.01</v>
      </c>
      <c r="E1052" s="6">
        <v>0.6316753598</v>
      </c>
    </row>
    <row r="1053" spans="1:5" x14ac:dyDescent="0.3">
      <c r="A1053" s="7">
        <v>133</v>
      </c>
      <c r="B1053" s="7" t="s">
        <v>181</v>
      </c>
      <c r="C1053" s="7">
        <v>-1</v>
      </c>
      <c r="D1053" s="10">
        <v>0.1</v>
      </c>
      <c r="E1053" s="8">
        <v>0.21871979699999999</v>
      </c>
    </row>
    <row r="1054" spans="1:5" x14ac:dyDescent="0.3">
      <c r="A1054" s="5">
        <v>133</v>
      </c>
      <c r="B1054" s="5" t="s">
        <v>181</v>
      </c>
      <c r="C1054" s="5">
        <v>0</v>
      </c>
      <c r="D1054" s="9">
        <v>1</v>
      </c>
      <c r="E1054" s="6">
        <v>2.2406721599999999E-2</v>
      </c>
    </row>
    <row r="1055" spans="1:5" x14ac:dyDescent="0.3">
      <c r="A1055" s="7">
        <v>133</v>
      </c>
      <c r="B1055" s="7" t="s">
        <v>181</v>
      </c>
      <c r="C1055" s="7">
        <v>1</v>
      </c>
      <c r="D1055" s="10">
        <v>10</v>
      </c>
      <c r="E1055" s="8">
        <v>7.1490538999999997E-3</v>
      </c>
    </row>
    <row r="1056" spans="1:5" x14ac:dyDescent="0.3">
      <c r="A1056" s="5">
        <v>133</v>
      </c>
      <c r="B1056" s="5" t="s">
        <v>181</v>
      </c>
      <c r="C1056" s="5">
        <v>2</v>
      </c>
      <c r="D1056" s="9">
        <v>100</v>
      </c>
      <c r="E1056" s="6">
        <v>7.3492504999999996E-3</v>
      </c>
    </row>
    <row r="1057" spans="1:5" x14ac:dyDescent="0.3">
      <c r="A1057" s="7">
        <v>133</v>
      </c>
      <c r="B1057" s="7" t="s">
        <v>181</v>
      </c>
      <c r="C1057" s="7">
        <v>3</v>
      </c>
      <c r="D1057" s="10">
        <v>1000</v>
      </c>
      <c r="E1057" s="8">
        <v>7.1331700000000003E-3</v>
      </c>
    </row>
    <row r="1058" spans="1:5" x14ac:dyDescent="0.3">
      <c r="A1058" s="5">
        <v>134</v>
      </c>
      <c r="B1058" s="5" t="s">
        <v>182</v>
      </c>
      <c r="C1058" s="5">
        <v>-4</v>
      </c>
      <c r="D1058" s="9">
        <v>1E-4</v>
      </c>
      <c r="E1058" s="6">
        <v>0.41579215200000003</v>
      </c>
    </row>
    <row r="1059" spans="1:5" x14ac:dyDescent="0.3">
      <c r="A1059" s="7">
        <v>134</v>
      </c>
      <c r="B1059" s="7" t="s">
        <v>182</v>
      </c>
      <c r="C1059" s="7">
        <v>-3</v>
      </c>
      <c r="D1059" s="10">
        <v>1E-3</v>
      </c>
      <c r="E1059" s="8">
        <v>0.62014519130000001</v>
      </c>
    </row>
    <row r="1060" spans="1:5" x14ac:dyDescent="0.3">
      <c r="A1060" s="5">
        <v>134</v>
      </c>
      <c r="B1060" s="5" t="s">
        <v>182</v>
      </c>
      <c r="C1060" s="5">
        <v>-2</v>
      </c>
      <c r="D1060" s="9">
        <v>0.01</v>
      </c>
      <c r="E1060" s="6">
        <v>0.6706799712</v>
      </c>
    </row>
    <row r="1061" spans="1:5" x14ac:dyDescent="0.3">
      <c r="A1061" s="7">
        <v>134</v>
      </c>
      <c r="B1061" s="7" t="s">
        <v>182</v>
      </c>
      <c r="C1061" s="7">
        <v>-1</v>
      </c>
      <c r="D1061" s="10">
        <v>0.1</v>
      </c>
      <c r="E1061" s="8">
        <v>0.17946225699999999</v>
      </c>
    </row>
    <row r="1062" spans="1:5" x14ac:dyDescent="0.3">
      <c r="A1062" s="5">
        <v>134</v>
      </c>
      <c r="B1062" s="5" t="s">
        <v>182</v>
      </c>
      <c r="C1062" s="5">
        <v>0</v>
      </c>
      <c r="D1062" s="9">
        <v>1</v>
      </c>
      <c r="E1062" s="6">
        <v>3.2326577000000001E-3</v>
      </c>
    </row>
    <row r="1063" spans="1:5" x14ac:dyDescent="0.3">
      <c r="A1063" s="7">
        <v>134</v>
      </c>
      <c r="B1063" s="7" t="s">
        <v>182</v>
      </c>
      <c r="C1063" s="7">
        <v>1</v>
      </c>
      <c r="D1063" s="10">
        <v>10</v>
      </c>
      <c r="E1063" s="8">
        <v>-1.24857187E-2</v>
      </c>
    </row>
    <row r="1064" spans="1:5" x14ac:dyDescent="0.3">
      <c r="A1064" s="5">
        <v>134</v>
      </c>
      <c r="B1064" s="5" t="s">
        <v>182</v>
      </c>
      <c r="C1064" s="5">
        <v>2</v>
      </c>
      <c r="D1064" s="9">
        <v>100</v>
      </c>
      <c r="E1064" s="6">
        <v>-1.4179565599999999E-2</v>
      </c>
    </row>
    <row r="1065" spans="1:5" x14ac:dyDescent="0.3">
      <c r="A1065" s="7">
        <v>134</v>
      </c>
      <c r="B1065" s="7" t="s">
        <v>182</v>
      </c>
      <c r="C1065" s="7">
        <v>3</v>
      </c>
      <c r="D1065" s="10">
        <v>1000</v>
      </c>
      <c r="E1065" s="8">
        <v>-1.38074128E-2</v>
      </c>
    </row>
    <row r="1066" spans="1:5" x14ac:dyDescent="0.3">
      <c r="A1066" s="5">
        <v>135</v>
      </c>
      <c r="B1066" s="5" t="s">
        <v>183</v>
      </c>
      <c r="C1066" s="5">
        <v>-4</v>
      </c>
      <c r="D1066" s="9">
        <v>1E-4</v>
      </c>
      <c r="E1066" s="6">
        <v>0.45283321500000001</v>
      </c>
    </row>
    <row r="1067" spans="1:5" x14ac:dyDescent="0.3">
      <c r="A1067" s="7">
        <v>135</v>
      </c>
      <c r="B1067" s="7" t="s">
        <v>183</v>
      </c>
      <c r="C1067" s="7">
        <v>-3</v>
      </c>
      <c r="D1067" s="10">
        <v>1E-3</v>
      </c>
      <c r="E1067" s="8">
        <v>0.5834490403</v>
      </c>
    </row>
    <row r="1068" spans="1:5" x14ac:dyDescent="0.3">
      <c r="A1068" s="5">
        <v>135</v>
      </c>
      <c r="B1068" s="5" t="s">
        <v>183</v>
      </c>
      <c r="C1068" s="5">
        <v>-2</v>
      </c>
      <c r="D1068" s="9">
        <v>0.01</v>
      </c>
      <c r="E1068" s="6">
        <v>0.20792713930000001</v>
      </c>
    </row>
    <row r="1069" spans="1:5" x14ac:dyDescent="0.3">
      <c r="A1069" s="7">
        <v>135</v>
      </c>
      <c r="B1069" s="7" t="s">
        <v>183</v>
      </c>
      <c r="C1069" s="7">
        <v>-1</v>
      </c>
      <c r="D1069" s="10">
        <v>0.1</v>
      </c>
      <c r="E1069" s="8">
        <v>-2.17508127E-2</v>
      </c>
    </row>
    <row r="1070" spans="1:5" x14ac:dyDescent="0.3">
      <c r="A1070" s="5">
        <v>135</v>
      </c>
      <c r="B1070" s="5" t="s">
        <v>183</v>
      </c>
      <c r="C1070" s="5">
        <v>0</v>
      </c>
      <c r="D1070" s="9">
        <v>1</v>
      </c>
      <c r="E1070" s="6">
        <v>-7.2445620899999993E-2</v>
      </c>
    </row>
    <row r="1071" spans="1:5" x14ac:dyDescent="0.3">
      <c r="A1071" s="7">
        <v>135</v>
      </c>
      <c r="B1071" s="7" t="s">
        <v>183</v>
      </c>
      <c r="C1071" s="7">
        <v>1</v>
      </c>
      <c r="D1071" s="10">
        <v>10</v>
      </c>
      <c r="E1071" s="8">
        <v>-9.4274292300000007E-2</v>
      </c>
    </row>
    <row r="1072" spans="1:5" x14ac:dyDescent="0.3">
      <c r="A1072" s="5">
        <v>135</v>
      </c>
      <c r="B1072" s="5" t="s">
        <v>183</v>
      </c>
      <c r="C1072" s="5">
        <v>2</v>
      </c>
      <c r="D1072" s="9">
        <v>100</v>
      </c>
      <c r="E1072" s="6">
        <v>-9.4087216099999996E-2</v>
      </c>
    </row>
    <row r="1073" spans="1:5" x14ac:dyDescent="0.3">
      <c r="A1073" s="7">
        <v>135</v>
      </c>
      <c r="B1073" s="7" t="s">
        <v>183</v>
      </c>
      <c r="C1073" s="7">
        <v>3</v>
      </c>
      <c r="D1073" s="10">
        <v>1000</v>
      </c>
      <c r="E1073" s="8">
        <v>-9.44080801E-2</v>
      </c>
    </row>
    <row r="1074" spans="1:5" x14ac:dyDescent="0.3">
      <c r="A1074" s="5">
        <v>136</v>
      </c>
      <c r="B1074" s="5" t="s">
        <v>184</v>
      </c>
      <c r="C1074" s="5">
        <v>-4</v>
      </c>
      <c r="D1074" s="9">
        <v>1E-4</v>
      </c>
      <c r="E1074" s="6">
        <v>0.46171595780000002</v>
      </c>
    </row>
    <row r="1075" spans="1:5" x14ac:dyDescent="0.3">
      <c r="A1075" s="7">
        <v>136</v>
      </c>
      <c r="B1075" s="7" t="s">
        <v>184</v>
      </c>
      <c r="C1075" s="7">
        <v>-3</v>
      </c>
      <c r="D1075" s="10">
        <v>1E-3</v>
      </c>
      <c r="E1075" s="8">
        <v>0.77821135299999999</v>
      </c>
    </row>
    <row r="1076" spans="1:5" x14ac:dyDescent="0.3">
      <c r="A1076" s="5">
        <v>136</v>
      </c>
      <c r="B1076" s="5" t="s">
        <v>184</v>
      </c>
      <c r="C1076" s="5">
        <v>-2</v>
      </c>
      <c r="D1076" s="9">
        <v>0.01</v>
      </c>
      <c r="E1076" s="6">
        <v>0.52229819070000005</v>
      </c>
    </row>
    <row r="1077" spans="1:5" x14ac:dyDescent="0.3">
      <c r="A1077" s="7">
        <v>136</v>
      </c>
      <c r="B1077" s="7" t="s">
        <v>184</v>
      </c>
      <c r="C1077" s="7">
        <v>-1</v>
      </c>
      <c r="D1077" s="10">
        <v>0.1</v>
      </c>
      <c r="E1077" s="8">
        <v>-0.34716147739999997</v>
      </c>
    </row>
    <row r="1078" spans="1:5" x14ac:dyDescent="0.3">
      <c r="A1078" s="5">
        <v>136</v>
      </c>
      <c r="B1078" s="5" t="s">
        <v>184</v>
      </c>
      <c r="C1078" s="5">
        <v>0</v>
      </c>
      <c r="D1078" s="9">
        <v>1</v>
      </c>
      <c r="E1078" s="6">
        <v>-0.56391260830000001</v>
      </c>
    </row>
    <row r="1079" spans="1:5" x14ac:dyDescent="0.3">
      <c r="A1079" s="7">
        <v>136</v>
      </c>
      <c r="B1079" s="7" t="s">
        <v>184</v>
      </c>
      <c r="C1079" s="7">
        <v>1</v>
      </c>
      <c r="D1079" s="10">
        <v>10</v>
      </c>
      <c r="E1079" s="8">
        <v>-0.57835375430000002</v>
      </c>
    </row>
    <row r="1080" spans="1:5" x14ac:dyDescent="0.3">
      <c r="A1080" s="5">
        <v>136</v>
      </c>
      <c r="B1080" s="5" t="s">
        <v>184</v>
      </c>
      <c r="C1080" s="5">
        <v>2</v>
      </c>
      <c r="D1080" s="9">
        <v>100</v>
      </c>
      <c r="E1080" s="6">
        <v>-0.57909123510000005</v>
      </c>
    </row>
    <row r="1081" spans="1:5" x14ac:dyDescent="0.3">
      <c r="A1081" s="7">
        <v>136</v>
      </c>
      <c r="B1081" s="7" t="s">
        <v>184</v>
      </c>
      <c r="C1081" s="7">
        <v>3</v>
      </c>
      <c r="D1081" s="10">
        <v>1000</v>
      </c>
      <c r="E1081" s="8">
        <v>-0.57707728020000004</v>
      </c>
    </row>
    <row r="1082" spans="1:5" x14ac:dyDescent="0.3">
      <c r="A1082" s="5">
        <v>137</v>
      </c>
      <c r="B1082" s="5" t="s">
        <v>185</v>
      </c>
      <c r="C1082" s="5">
        <v>-4</v>
      </c>
      <c r="D1082" s="9">
        <v>1E-4</v>
      </c>
      <c r="E1082" s="6">
        <v>6.9576794499999997E-2</v>
      </c>
    </row>
    <row r="1083" spans="1:5" x14ac:dyDescent="0.3">
      <c r="A1083" s="7">
        <v>137</v>
      </c>
      <c r="B1083" s="7" t="s">
        <v>185</v>
      </c>
      <c r="C1083" s="7">
        <v>-3</v>
      </c>
      <c r="D1083" s="10">
        <v>1E-3</v>
      </c>
      <c r="E1083" s="8">
        <v>0.5508725552</v>
      </c>
    </row>
    <row r="1084" spans="1:5" x14ac:dyDescent="0.3">
      <c r="A1084" s="5">
        <v>137</v>
      </c>
      <c r="B1084" s="5" t="s">
        <v>185</v>
      </c>
      <c r="C1084" s="5">
        <v>-2</v>
      </c>
      <c r="D1084" s="9">
        <v>0.01</v>
      </c>
      <c r="E1084" s="6">
        <v>0.812015398</v>
      </c>
    </row>
    <row r="1085" spans="1:5" x14ac:dyDescent="0.3">
      <c r="A1085" s="7">
        <v>137</v>
      </c>
      <c r="B1085" s="7" t="s">
        <v>185</v>
      </c>
      <c r="C1085" s="7">
        <v>-1</v>
      </c>
      <c r="D1085" s="10">
        <v>0.1</v>
      </c>
      <c r="E1085" s="8">
        <v>0.37595440489999998</v>
      </c>
    </row>
    <row r="1086" spans="1:5" x14ac:dyDescent="0.3">
      <c r="A1086" s="5">
        <v>137</v>
      </c>
      <c r="B1086" s="5" t="s">
        <v>185</v>
      </c>
      <c r="C1086" s="5">
        <v>0</v>
      </c>
      <c r="D1086" s="9">
        <v>1</v>
      </c>
      <c r="E1086" s="6">
        <v>0.12215010029999999</v>
      </c>
    </row>
    <row r="1087" spans="1:5" x14ac:dyDescent="0.3">
      <c r="A1087" s="7">
        <v>137</v>
      </c>
      <c r="B1087" s="7" t="s">
        <v>185</v>
      </c>
      <c r="C1087" s="7">
        <v>1</v>
      </c>
      <c r="D1087" s="10">
        <v>10</v>
      </c>
      <c r="E1087" s="8">
        <v>0.10083617239999999</v>
      </c>
    </row>
    <row r="1088" spans="1:5" x14ac:dyDescent="0.3">
      <c r="A1088" s="5">
        <v>137</v>
      </c>
      <c r="B1088" s="5" t="s">
        <v>185</v>
      </c>
      <c r="C1088" s="5">
        <v>2</v>
      </c>
      <c r="D1088" s="9">
        <v>100</v>
      </c>
      <c r="E1088" s="6">
        <v>9.9120660799999996E-2</v>
      </c>
    </row>
    <row r="1089" spans="1:5" x14ac:dyDescent="0.3">
      <c r="A1089" s="7">
        <v>137</v>
      </c>
      <c r="B1089" s="7" t="s">
        <v>185</v>
      </c>
      <c r="C1089" s="7">
        <v>3</v>
      </c>
      <c r="D1089" s="10">
        <v>1000</v>
      </c>
      <c r="E1089" s="8">
        <v>9.7845040300000005E-2</v>
      </c>
    </row>
    <row r="1090" spans="1:5" x14ac:dyDescent="0.3">
      <c r="A1090" s="5">
        <v>138</v>
      </c>
      <c r="B1090" s="5" t="s">
        <v>186</v>
      </c>
      <c r="C1090" s="5">
        <v>-4</v>
      </c>
      <c r="D1090" s="9">
        <v>1E-4</v>
      </c>
      <c r="E1090" s="6">
        <v>0.54360949599999997</v>
      </c>
    </row>
    <row r="1091" spans="1:5" x14ac:dyDescent="0.3">
      <c r="A1091" s="7">
        <v>138</v>
      </c>
      <c r="B1091" s="7" t="s">
        <v>186</v>
      </c>
      <c r="C1091" s="7">
        <v>-3</v>
      </c>
      <c r="D1091" s="10">
        <v>1E-3</v>
      </c>
      <c r="E1091" s="8">
        <v>0.64989905709999995</v>
      </c>
    </row>
    <row r="1092" spans="1:5" x14ac:dyDescent="0.3">
      <c r="A1092" s="5">
        <v>138</v>
      </c>
      <c r="B1092" s="5" t="s">
        <v>186</v>
      </c>
      <c r="C1092" s="5">
        <v>-2</v>
      </c>
      <c r="D1092" s="9">
        <v>0.01</v>
      </c>
      <c r="E1092" s="6">
        <v>0.70997183220000004</v>
      </c>
    </row>
    <row r="1093" spans="1:5" x14ac:dyDescent="0.3">
      <c r="A1093" s="7">
        <v>138</v>
      </c>
      <c r="B1093" s="7" t="s">
        <v>186</v>
      </c>
      <c r="C1093" s="7">
        <v>-1</v>
      </c>
      <c r="D1093" s="10">
        <v>0.1</v>
      </c>
      <c r="E1093" s="8">
        <v>-0.67340448939999997</v>
      </c>
    </row>
    <row r="1094" spans="1:5" x14ac:dyDescent="0.3">
      <c r="A1094" s="5">
        <v>138</v>
      </c>
      <c r="B1094" s="5" t="s">
        <v>186</v>
      </c>
      <c r="C1094" s="5">
        <v>0</v>
      </c>
      <c r="D1094" s="9">
        <v>1</v>
      </c>
      <c r="E1094" s="6">
        <v>-1.1609216549000001</v>
      </c>
    </row>
    <row r="1095" spans="1:5" x14ac:dyDescent="0.3">
      <c r="A1095" s="7">
        <v>138</v>
      </c>
      <c r="B1095" s="7" t="s">
        <v>186</v>
      </c>
      <c r="C1095" s="7">
        <v>1</v>
      </c>
      <c r="D1095" s="10">
        <v>10</v>
      </c>
      <c r="E1095" s="8">
        <v>-1.2076223591999999</v>
      </c>
    </row>
    <row r="1096" spans="1:5" x14ac:dyDescent="0.3">
      <c r="A1096" s="5">
        <v>138</v>
      </c>
      <c r="B1096" s="5" t="s">
        <v>186</v>
      </c>
      <c r="C1096" s="5">
        <v>2</v>
      </c>
      <c r="D1096" s="9">
        <v>100</v>
      </c>
      <c r="E1096" s="6">
        <v>-1.1923675175999999</v>
      </c>
    </row>
    <row r="1097" spans="1:5" x14ac:dyDescent="0.3">
      <c r="A1097" s="7">
        <v>138</v>
      </c>
      <c r="B1097" s="7" t="s">
        <v>186</v>
      </c>
      <c r="C1097" s="7">
        <v>3</v>
      </c>
      <c r="D1097" s="10">
        <v>1000</v>
      </c>
      <c r="E1097" s="8">
        <v>-1.2039172535</v>
      </c>
    </row>
    <row r="1098" spans="1:5" x14ac:dyDescent="0.3">
      <c r="A1098" s="5">
        <v>139</v>
      </c>
      <c r="B1098" s="5" t="s">
        <v>187</v>
      </c>
      <c r="C1098" s="5">
        <v>-4</v>
      </c>
      <c r="D1098" s="9">
        <v>1E-4</v>
      </c>
      <c r="E1098" s="6">
        <v>0.61977863239999997</v>
      </c>
    </row>
    <row r="1099" spans="1:5" x14ac:dyDescent="0.3">
      <c r="A1099" s="7">
        <v>139</v>
      </c>
      <c r="B1099" s="7" t="s">
        <v>187</v>
      </c>
      <c r="C1099" s="7">
        <v>-3</v>
      </c>
      <c r="D1099" s="10">
        <v>1E-3</v>
      </c>
      <c r="E1099" s="8">
        <v>0.76294011900000003</v>
      </c>
    </row>
    <row r="1100" spans="1:5" x14ac:dyDescent="0.3">
      <c r="A1100" s="5">
        <v>139</v>
      </c>
      <c r="B1100" s="5" t="s">
        <v>187</v>
      </c>
      <c r="C1100" s="5">
        <v>-2</v>
      </c>
      <c r="D1100" s="9">
        <v>0.01</v>
      </c>
      <c r="E1100" s="6">
        <v>0.77567683279999999</v>
      </c>
    </row>
    <row r="1101" spans="1:5" x14ac:dyDescent="0.3">
      <c r="A1101" s="7">
        <v>139</v>
      </c>
      <c r="B1101" s="7" t="s">
        <v>187</v>
      </c>
      <c r="C1101" s="7">
        <v>-1</v>
      </c>
      <c r="D1101" s="10">
        <v>0.1</v>
      </c>
      <c r="E1101" s="8">
        <v>0.33376934019999999</v>
      </c>
    </row>
    <row r="1102" spans="1:5" x14ac:dyDescent="0.3">
      <c r="A1102" s="5">
        <v>139</v>
      </c>
      <c r="B1102" s="5" t="s">
        <v>187</v>
      </c>
      <c r="C1102" s="5">
        <v>0</v>
      </c>
      <c r="D1102" s="9">
        <v>1</v>
      </c>
      <c r="E1102" s="6">
        <v>0.17085012029999999</v>
      </c>
    </row>
    <row r="1103" spans="1:5" x14ac:dyDescent="0.3">
      <c r="A1103" s="7">
        <v>139</v>
      </c>
      <c r="B1103" s="7" t="s">
        <v>187</v>
      </c>
      <c r="C1103" s="7">
        <v>1</v>
      </c>
      <c r="D1103" s="10">
        <v>10</v>
      </c>
      <c r="E1103" s="8">
        <v>0.15110618719999999</v>
      </c>
    </row>
    <row r="1104" spans="1:5" x14ac:dyDescent="0.3">
      <c r="A1104" s="5">
        <v>139</v>
      </c>
      <c r="B1104" s="5" t="s">
        <v>187</v>
      </c>
      <c r="C1104" s="5">
        <v>2</v>
      </c>
      <c r="D1104" s="9">
        <v>100</v>
      </c>
      <c r="E1104" s="6">
        <v>0.14993345599999999</v>
      </c>
    </row>
    <row r="1105" spans="1:5" x14ac:dyDescent="0.3">
      <c r="A1105" s="7">
        <v>139</v>
      </c>
      <c r="B1105" s="7" t="s">
        <v>187</v>
      </c>
      <c r="C1105" s="7">
        <v>3</v>
      </c>
      <c r="D1105" s="10">
        <v>1000</v>
      </c>
      <c r="E1105" s="8">
        <v>0.1498222568</v>
      </c>
    </row>
    <row r="1106" spans="1:5" x14ac:dyDescent="0.3">
      <c r="A1106" s="5">
        <v>140</v>
      </c>
      <c r="B1106" s="5" t="s">
        <v>188</v>
      </c>
      <c r="C1106" s="5">
        <v>-4</v>
      </c>
      <c r="D1106" s="9">
        <v>1E-4</v>
      </c>
      <c r="E1106" s="6">
        <v>0.43878407320000001</v>
      </c>
    </row>
    <row r="1107" spans="1:5" x14ac:dyDescent="0.3">
      <c r="A1107" s="7">
        <v>140</v>
      </c>
      <c r="B1107" s="7" t="s">
        <v>188</v>
      </c>
      <c r="C1107" s="7">
        <v>-3</v>
      </c>
      <c r="D1107" s="10">
        <v>1E-3</v>
      </c>
      <c r="E1107" s="8">
        <v>0.54841575980000001</v>
      </c>
    </row>
    <row r="1108" spans="1:5" x14ac:dyDescent="0.3">
      <c r="A1108" s="5">
        <v>140</v>
      </c>
      <c r="B1108" s="5" t="s">
        <v>188</v>
      </c>
      <c r="C1108" s="5">
        <v>-2</v>
      </c>
      <c r="D1108" s="9">
        <v>0.01</v>
      </c>
      <c r="E1108" s="6">
        <v>0.79741999330000002</v>
      </c>
    </row>
    <row r="1109" spans="1:5" x14ac:dyDescent="0.3">
      <c r="A1109" s="7">
        <v>140</v>
      </c>
      <c r="B1109" s="7" t="s">
        <v>188</v>
      </c>
      <c r="C1109" s="7">
        <v>-1</v>
      </c>
      <c r="D1109" s="10">
        <v>0.1</v>
      </c>
      <c r="E1109" s="8">
        <v>0.59157892720000005</v>
      </c>
    </row>
    <row r="1110" spans="1:5" x14ac:dyDescent="0.3">
      <c r="A1110" s="5">
        <v>140</v>
      </c>
      <c r="B1110" s="5" t="s">
        <v>188</v>
      </c>
      <c r="C1110" s="5">
        <v>0</v>
      </c>
      <c r="D1110" s="9">
        <v>1</v>
      </c>
      <c r="E1110" s="6">
        <v>0.47277318010000002</v>
      </c>
    </row>
    <row r="1111" spans="1:5" x14ac:dyDescent="0.3">
      <c r="A1111" s="7">
        <v>140</v>
      </c>
      <c r="B1111" s="7" t="s">
        <v>188</v>
      </c>
      <c r="C1111" s="7">
        <v>1</v>
      </c>
      <c r="D1111" s="10">
        <v>10</v>
      </c>
      <c r="E1111" s="8">
        <v>0.45819157090000001</v>
      </c>
    </row>
    <row r="1112" spans="1:5" x14ac:dyDescent="0.3">
      <c r="A1112" s="5">
        <v>140</v>
      </c>
      <c r="B1112" s="5" t="s">
        <v>188</v>
      </c>
      <c r="C1112" s="5">
        <v>2</v>
      </c>
      <c r="D1112" s="9">
        <v>100</v>
      </c>
      <c r="E1112" s="6">
        <v>0.46015057469999998</v>
      </c>
    </row>
    <row r="1113" spans="1:5" x14ac:dyDescent="0.3">
      <c r="A1113" s="7">
        <v>140</v>
      </c>
      <c r="B1113" s="7" t="s">
        <v>188</v>
      </c>
      <c r="C1113" s="7">
        <v>3</v>
      </c>
      <c r="D1113" s="10">
        <v>1000</v>
      </c>
      <c r="E1113" s="8">
        <v>0.45804750960000001</v>
      </c>
    </row>
    <row r="1114" spans="1:5" x14ac:dyDescent="0.3">
      <c r="A1114" s="5">
        <v>141</v>
      </c>
      <c r="B1114" s="5" t="s">
        <v>189</v>
      </c>
      <c r="C1114" s="5">
        <v>-4</v>
      </c>
      <c r="D1114" s="9">
        <v>1E-4</v>
      </c>
      <c r="E1114" s="6">
        <v>0.41157840559999997</v>
      </c>
    </row>
    <row r="1115" spans="1:5" x14ac:dyDescent="0.3">
      <c r="A1115" s="7">
        <v>141</v>
      </c>
      <c r="B1115" s="7" t="s">
        <v>189</v>
      </c>
      <c r="C1115" s="7">
        <v>-3</v>
      </c>
      <c r="D1115" s="10">
        <v>1E-3</v>
      </c>
      <c r="E1115" s="8">
        <v>0.63098228420000002</v>
      </c>
    </row>
    <row r="1116" spans="1:5" x14ac:dyDescent="0.3">
      <c r="A1116" s="5">
        <v>141</v>
      </c>
      <c r="B1116" s="5" t="s">
        <v>189</v>
      </c>
      <c r="C1116" s="5">
        <v>-2</v>
      </c>
      <c r="D1116" s="9">
        <v>0.01</v>
      </c>
      <c r="E1116" s="6">
        <v>0.93328926599999995</v>
      </c>
    </row>
    <row r="1117" spans="1:5" x14ac:dyDescent="0.3">
      <c r="A1117" s="7">
        <v>141</v>
      </c>
      <c r="B1117" s="7" t="s">
        <v>189</v>
      </c>
      <c r="C1117" s="7">
        <v>-1</v>
      </c>
      <c r="D1117" s="10">
        <v>0.1</v>
      </c>
      <c r="E1117" s="8">
        <v>0.2622470274</v>
      </c>
    </row>
    <row r="1118" spans="1:5" x14ac:dyDescent="0.3">
      <c r="A1118" s="5">
        <v>141</v>
      </c>
      <c r="B1118" s="5" t="s">
        <v>189</v>
      </c>
      <c r="C1118" s="5">
        <v>0</v>
      </c>
      <c r="D1118" s="9">
        <v>1</v>
      </c>
      <c r="E1118" s="6">
        <v>-0.28029284710000002</v>
      </c>
    </row>
    <row r="1119" spans="1:5" x14ac:dyDescent="0.3">
      <c r="A1119" s="7">
        <v>141</v>
      </c>
      <c r="B1119" s="7" t="s">
        <v>189</v>
      </c>
      <c r="C1119" s="7">
        <v>1</v>
      </c>
      <c r="D1119" s="10">
        <v>10</v>
      </c>
      <c r="E1119" s="8">
        <v>-0.31036222569999999</v>
      </c>
    </row>
    <row r="1120" spans="1:5" x14ac:dyDescent="0.3">
      <c r="A1120" s="5">
        <v>141</v>
      </c>
      <c r="B1120" s="5" t="s">
        <v>189</v>
      </c>
      <c r="C1120" s="5">
        <v>2</v>
      </c>
      <c r="D1120" s="9">
        <v>100</v>
      </c>
      <c r="E1120" s="6">
        <v>-0.31182065689999999</v>
      </c>
    </row>
    <row r="1121" spans="1:5" x14ac:dyDescent="0.3">
      <c r="A1121" s="7">
        <v>141</v>
      </c>
      <c r="B1121" s="7" t="s">
        <v>189</v>
      </c>
      <c r="C1121" s="7">
        <v>3</v>
      </c>
      <c r="D1121" s="10">
        <v>1000</v>
      </c>
      <c r="E1121" s="8">
        <v>-0.31310500229999999</v>
      </c>
    </row>
    <row r="1122" spans="1:5" x14ac:dyDescent="0.3">
      <c r="A1122" s="5">
        <v>142</v>
      </c>
      <c r="B1122" s="5" t="s">
        <v>190</v>
      </c>
      <c r="C1122" s="5">
        <v>-4</v>
      </c>
      <c r="D1122" s="9">
        <v>1E-4</v>
      </c>
      <c r="E1122" s="6">
        <v>0.46603196920000001</v>
      </c>
    </row>
    <row r="1123" spans="1:5" x14ac:dyDescent="0.3">
      <c r="A1123" s="7">
        <v>142</v>
      </c>
      <c r="B1123" s="7" t="s">
        <v>190</v>
      </c>
      <c r="C1123" s="7">
        <v>-3</v>
      </c>
      <c r="D1123" s="10">
        <v>1E-3</v>
      </c>
      <c r="E1123" s="8">
        <v>0.80699231299999996</v>
      </c>
    </row>
    <row r="1124" spans="1:5" x14ac:dyDescent="0.3">
      <c r="A1124" s="5">
        <v>142</v>
      </c>
      <c r="B1124" s="5" t="s">
        <v>190</v>
      </c>
      <c r="C1124" s="5">
        <v>-2</v>
      </c>
      <c r="D1124" s="9">
        <v>0.01</v>
      </c>
      <c r="E1124" s="6">
        <v>0.7914194027</v>
      </c>
    </row>
    <row r="1125" spans="1:5" x14ac:dyDescent="0.3">
      <c r="A1125" s="7">
        <v>142</v>
      </c>
      <c r="B1125" s="7" t="s">
        <v>190</v>
      </c>
      <c r="C1125" s="7">
        <v>-1</v>
      </c>
      <c r="D1125" s="10">
        <v>0.1</v>
      </c>
      <c r="E1125" s="8">
        <v>-0.15185086989999999</v>
      </c>
    </row>
    <row r="1126" spans="1:5" x14ac:dyDescent="0.3">
      <c r="A1126" s="5">
        <v>142</v>
      </c>
      <c r="B1126" s="5" t="s">
        <v>190</v>
      </c>
      <c r="C1126" s="5">
        <v>0</v>
      </c>
      <c r="D1126" s="9">
        <v>1</v>
      </c>
      <c r="E1126" s="6">
        <v>-0.48267475929999998</v>
      </c>
    </row>
    <row r="1127" spans="1:5" x14ac:dyDescent="0.3">
      <c r="A1127" s="7">
        <v>142</v>
      </c>
      <c r="B1127" s="7" t="s">
        <v>190</v>
      </c>
      <c r="C1127" s="7">
        <v>1</v>
      </c>
      <c r="D1127" s="10">
        <v>10</v>
      </c>
      <c r="E1127" s="8">
        <v>-0.49079112219999999</v>
      </c>
    </row>
    <row r="1128" spans="1:5" x14ac:dyDescent="0.3">
      <c r="A1128" s="5">
        <v>142</v>
      </c>
      <c r="B1128" s="5" t="s">
        <v>190</v>
      </c>
      <c r="C1128" s="5">
        <v>2</v>
      </c>
      <c r="D1128" s="9">
        <v>100</v>
      </c>
      <c r="E1128" s="6">
        <v>-0.49655030109999998</v>
      </c>
    </row>
    <row r="1129" spans="1:5" x14ac:dyDescent="0.3">
      <c r="A1129" s="7">
        <v>142</v>
      </c>
      <c r="B1129" s="7" t="s">
        <v>190</v>
      </c>
      <c r="C1129" s="7">
        <v>3</v>
      </c>
      <c r="D1129" s="10">
        <v>1000</v>
      </c>
      <c r="E1129" s="8">
        <v>-0.49880356669999998</v>
      </c>
    </row>
    <row r="1130" spans="1:5" x14ac:dyDescent="0.3">
      <c r="A1130" s="5">
        <v>143</v>
      </c>
      <c r="B1130" s="5" t="s">
        <v>191</v>
      </c>
      <c r="C1130" s="5">
        <v>-4</v>
      </c>
      <c r="D1130" s="9">
        <v>1E-4</v>
      </c>
      <c r="E1130" s="6">
        <v>0.7746429963</v>
      </c>
    </row>
    <row r="1131" spans="1:5" x14ac:dyDescent="0.3">
      <c r="A1131" s="7">
        <v>143</v>
      </c>
      <c r="B1131" s="7" t="s">
        <v>191</v>
      </c>
      <c r="C1131" s="7">
        <v>-3</v>
      </c>
      <c r="D1131" s="10">
        <v>1E-3</v>
      </c>
      <c r="E1131" s="8">
        <v>0.69807056430000003</v>
      </c>
    </row>
    <row r="1132" spans="1:5" x14ac:dyDescent="0.3">
      <c r="A1132" s="5">
        <v>143</v>
      </c>
      <c r="B1132" s="5" t="s">
        <v>191</v>
      </c>
      <c r="C1132" s="5">
        <v>-2</v>
      </c>
      <c r="D1132" s="9">
        <v>0.01</v>
      </c>
      <c r="E1132" s="6">
        <v>-0.81030896350000003</v>
      </c>
    </row>
    <row r="1133" spans="1:5" x14ac:dyDescent="0.3">
      <c r="A1133" s="7">
        <v>143</v>
      </c>
      <c r="B1133" s="7" t="s">
        <v>191</v>
      </c>
      <c r="C1133" s="7">
        <v>-1</v>
      </c>
      <c r="D1133" s="10">
        <v>0.1</v>
      </c>
      <c r="E1133" s="8">
        <v>-1.6289545352999999</v>
      </c>
    </row>
    <row r="1134" spans="1:5" x14ac:dyDescent="0.3">
      <c r="A1134" s="5">
        <v>143</v>
      </c>
      <c r="B1134" s="5" t="s">
        <v>191</v>
      </c>
      <c r="C1134" s="5">
        <v>0</v>
      </c>
      <c r="D1134" s="9">
        <v>1</v>
      </c>
      <c r="E1134" s="6">
        <v>-1.9122247768</v>
      </c>
    </row>
    <row r="1135" spans="1:5" x14ac:dyDescent="0.3">
      <c r="A1135" s="7">
        <v>143</v>
      </c>
      <c r="B1135" s="7" t="s">
        <v>191</v>
      </c>
      <c r="C1135" s="7">
        <v>1</v>
      </c>
      <c r="D1135" s="10">
        <v>10</v>
      </c>
      <c r="E1135" s="8">
        <v>-1.9316541300000001</v>
      </c>
    </row>
    <row r="1136" spans="1:5" x14ac:dyDescent="0.3">
      <c r="A1136" s="5">
        <v>143</v>
      </c>
      <c r="B1136" s="5" t="s">
        <v>191</v>
      </c>
      <c r="C1136" s="5">
        <v>2</v>
      </c>
      <c r="D1136" s="9">
        <v>100</v>
      </c>
      <c r="E1136" s="6">
        <v>-1.9329105713000001</v>
      </c>
    </row>
    <row r="1137" spans="1:5" x14ac:dyDescent="0.3">
      <c r="A1137" s="7">
        <v>143</v>
      </c>
      <c r="B1137" s="7" t="s">
        <v>191</v>
      </c>
      <c r="C1137" s="7">
        <v>3</v>
      </c>
      <c r="D1137" s="10">
        <v>1000</v>
      </c>
      <c r="E1137" s="8">
        <v>-1.9319587757000001</v>
      </c>
    </row>
    <row r="1138" spans="1:5" x14ac:dyDescent="0.3">
      <c r="A1138" s="5">
        <v>144</v>
      </c>
      <c r="B1138" s="5" t="s">
        <v>192</v>
      </c>
      <c r="C1138" s="5">
        <v>-4</v>
      </c>
      <c r="D1138" s="9">
        <v>1E-4</v>
      </c>
      <c r="E1138" s="6">
        <v>0.3824639219</v>
      </c>
    </row>
    <row r="1139" spans="1:5" x14ac:dyDescent="0.3">
      <c r="A1139" s="7">
        <v>144</v>
      </c>
      <c r="B1139" s="7" t="s">
        <v>192</v>
      </c>
      <c r="C1139" s="7">
        <v>-3</v>
      </c>
      <c r="D1139" s="10">
        <v>1E-3</v>
      </c>
      <c r="E1139" s="8">
        <v>0.4951872075</v>
      </c>
    </row>
    <row r="1140" spans="1:5" x14ac:dyDescent="0.3">
      <c r="A1140" s="5">
        <v>144</v>
      </c>
      <c r="B1140" s="5" t="s">
        <v>192</v>
      </c>
      <c r="C1140" s="5">
        <v>-2</v>
      </c>
      <c r="D1140" s="9">
        <v>0.01</v>
      </c>
      <c r="E1140" s="6">
        <v>0.77357292259999999</v>
      </c>
    </row>
    <row r="1141" spans="1:5" x14ac:dyDescent="0.3">
      <c r="A1141" s="7">
        <v>144</v>
      </c>
      <c r="B1141" s="7" t="s">
        <v>192</v>
      </c>
      <c r="C1141" s="7">
        <v>-1</v>
      </c>
      <c r="D1141" s="10">
        <v>0.1</v>
      </c>
      <c r="E1141" s="8">
        <v>0.79456961940000004</v>
      </c>
    </row>
    <row r="1142" spans="1:5" x14ac:dyDescent="0.3">
      <c r="A1142" s="5">
        <v>144</v>
      </c>
      <c r="B1142" s="5" t="s">
        <v>192</v>
      </c>
      <c r="C1142" s="5">
        <v>0</v>
      </c>
      <c r="D1142" s="9">
        <v>1</v>
      </c>
      <c r="E1142" s="6">
        <v>0.61870718970000005</v>
      </c>
    </row>
    <row r="1143" spans="1:5" x14ac:dyDescent="0.3">
      <c r="A1143" s="7">
        <v>144</v>
      </c>
      <c r="B1143" s="7" t="s">
        <v>192</v>
      </c>
      <c r="C1143" s="7">
        <v>1</v>
      </c>
      <c r="D1143" s="10">
        <v>10</v>
      </c>
      <c r="E1143" s="8">
        <v>0.61278608270000001</v>
      </c>
    </row>
    <row r="1144" spans="1:5" x14ac:dyDescent="0.3">
      <c r="A1144" s="5">
        <v>144</v>
      </c>
      <c r="B1144" s="5" t="s">
        <v>192</v>
      </c>
      <c r="C1144" s="5">
        <v>2</v>
      </c>
      <c r="D1144" s="9">
        <v>100</v>
      </c>
      <c r="E1144" s="6">
        <v>0.61280215900000001</v>
      </c>
    </row>
    <row r="1145" spans="1:5" x14ac:dyDescent="0.3">
      <c r="A1145" s="7">
        <v>144</v>
      </c>
      <c r="B1145" s="7" t="s">
        <v>192</v>
      </c>
      <c r="C1145" s="7">
        <v>3</v>
      </c>
      <c r="D1145" s="10">
        <v>1000</v>
      </c>
      <c r="E1145" s="8">
        <v>0.62188805830000005</v>
      </c>
    </row>
    <row r="1146" spans="1:5" x14ac:dyDescent="0.3">
      <c r="A1146" s="5">
        <v>145</v>
      </c>
      <c r="B1146" s="5" t="s">
        <v>193</v>
      </c>
      <c r="C1146" s="5">
        <v>-4</v>
      </c>
      <c r="D1146" s="9">
        <v>1E-4</v>
      </c>
      <c r="E1146" s="6">
        <v>0.75845847089999996</v>
      </c>
    </row>
    <row r="1147" spans="1:5" x14ac:dyDescent="0.3">
      <c r="A1147" s="7">
        <v>145</v>
      </c>
      <c r="B1147" s="7" t="s">
        <v>193</v>
      </c>
      <c r="C1147" s="7">
        <v>-3</v>
      </c>
      <c r="D1147" s="10">
        <v>1E-3</v>
      </c>
      <c r="E1147" s="8">
        <v>0.75840871840000001</v>
      </c>
    </row>
    <row r="1148" spans="1:5" x14ac:dyDescent="0.3">
      <c r="A1148" s="5">
        <v>145</v>
      </c>
      <c r="B1148" s="5" t="s">
        <v>193</v>
      </c>
      <c r="C1148" s="5">
        <v>-2</v>
      </c>
      <c r="D1148" s="9">
        <v>0.01</v>
      </c>
      <c r="E1148" s="6">
        <v>0.8675276126</v>
      </c>
    </row>
    <row r="1149" spans="1:5" x14ac:dyDescent="0.3">
      <c r="A1149" s="7">
        <v>145</v>
      </c>
      <c r="B1149" s="7" t="s">
        <v>193</v>
      </c>
      <c r="C1149" s="7">
        <v>-1</v>
      </c>
      <c r="D1149" s="10">
        <v>0.1</v>
      </c>
      <c r="E1149" s="8">
        <v>0.49095909090000001</v>
      </c>
    </row>
    <row r="1150" spans="1:5" x14ac:dyDescent="0.3">
      <c r="A1150" s="5">
        <v>145</v>
      </c>
      <c r="B1150" s="5" t="s">
        <v>193</v>
      </c>
      <c r="C1150" s="5">
        <v>0</v>
      </c>
      <c r="D1150" s="9">
        <v>1</v>
      </c>
      <c r="E1150" s="6">
        <v>0.26151272730000003</v>
      </c>
    </row>
    <row r="1151" spans="1:5" x14ac:dyDescent="0.3">
      <c r="A1151" s="7">
        <v>145</v>
      </c>
      <c r="B1151" s="7" t="s">
        <v>193</v>
      </c>
      <c r="C1151" s="7">
        <v>1</v>
      </c>
      <c r="D1151" s="10">
        <v>10</v>
      </c>
      <c r="E1151" s="8">
        <v>0.24545454550000001</v>
      </c>
    </row>
    <row r="1152" spans="1:5" x14ac:dyDescent="0.3">
      <c r="A1152" s="5">
        <v>145</v>
      </c>
      <c r="B1152" s="5" t="s">
        <v>193</v>
      </c>
      <c r="C1152" s="5">
        <v>2</v>
      </c>
      <c r="D1152" s="9">
        <v>100</v>
      </c>
      <c r="E1152" s="6">
        <v>0.2453627273</v>
      </c>
    </row>
    <row r="1153" spans="1:5" x14ac:dyDescent="0.3">
      <c r="A1153" s="7">
        <v>145</v>
      </c>
      <c r="B1153" s="7" t="s">
        <v>193</v>
      </c>
      <c r="C1153" s="7">
        <v>3</v>
      </c>
      <c r="D1153" s="10">
        <v>1000</v>
      </c>
      <c r="E1153" s="8">
        <v>0.24527090909999999</v>
      </c>
    </row>
    <row r="1154" spans="1:5" x14ac:dyDescent="0.3">
      <c r="A1154" s="5">
        <v>146</v>
      </c>
      <c r="B1154" s="5" t="s">
        <v>194</v>
      </c>
      <c r="C1154" s="5">
        <v>-4</v>
      </c>
      <c r="D1154" s="9">
        <v>1E-4</v>
      </c>
      <c r="E1154" s="6">
        <v>0.54081370169999998</v>
      </c>
    </row>
    <row r="1155" spans="1:5" x14ac:dyDescent="0.3">
      <c r="A1155" s="7">
        <v>146</v>
      </c>
      <c r="B1155" s="7" t="s">
        <v>194</v>
      </c>
      <c r="C1155" s="7">
        <v>-3</v>
      </c>
      <c r="D1155" s="10">
        <v>1E-3</v>
      </c>
      <c r="E1155" s="8">
        <v>0.83833081060000003</v>
      </c>
    </row>
    <row r="1156" spans="1:5" x14ac:dyDescent="0.3">
      <c r="A1156" s="5">
        <v>146</v>
      </c>
      <c r="B1156" s="5" t="s">
        <v>194</v>
      </c>
      <c r="C1156" s="5">
        <v>-2</v>
      </c>
      <c r="D1156" s="9">
        <v>0.01</v>
      </c>
      <c r="E1156" s="6">
        <v>0.58327336490000004</v>
      </c>
    </row>
    <row r="1157" spans="1:5" x14ac:dyDescent="0.3">
      <c r="A1157" s="7">
        <v>146</v>
      </c>
      <c r="B1157" s="7" t="s">
        <v>194</v>
      </c>
      <c r="C1157" s="7">
        <v>-1</v>
      </c>
      <c r="D1157" s="10">
        <v>0.1</v>
      </c>
      <c r="E1157" s="8">
        <v>0.22536503029999999</v>
      </c>
    </row>
    <row r="1158" spans="1:5" x14ac:dyDescent="0.3">
      <c r="A1158" s="5">
        <v>146</v>
      </c>
      <c r="B1158" s="5" t="s">
        <v>194</v>
      </c>
      <c r="C1158" s="5">
        <v>0</v>
      </c>
      <c r="D1158" s="9">
        <v>1</v>
      </c>
      <c r="E1158" s="6">
        <v>8.0171075300000005E-2</v>
      </c>
    </row>
    <row r="1159" spans="1:5" x14ac:dyDescent="0.3">
      <c r="A1159" s="7">
        <v>146</v>
      </c>
      <c r="B1159" s="7" t="s">
        <v>194</v>
      </c>
      <c r="C1159" s="7">
        <v>1</v>
      </c>
      <c r="D1159" s="10">
        <v>10</v>
      </c>
      <c r="E1159" s="8">
        <v>6.6655966299999994E-2</v>
      </c>
    </row>
    <row r="1160" spans="1:5" x14ac:dyDescent="0.3">
      <c r="A1160" s="5">
        <v>146</v>
      </c>
      <c r="B1160" s="5" t="s">
        <v>194</v>
      </c>
      <c r="C1160" s="5">
        <v>2</v>
      </c>
      <c r="D1160" s="9">
        <v>100</v>
      </c>
      <c r="E1160" s="6">
        <v>6.7507446700000001E-2</v>
      </c>
    </row>
    <row r="1161" spans="1:5" x14ac:dyDescent="0.3">
      <c r="A1161" s="7">
        <v>146</v>
      </c>
      <c r="B1161" s="7" t="s">
        <v>194</v>
      </c>
      <c r="C1161" s="7">
        <v>3</v>
      </c>
      <c r="D1161" s="10">
        <v>1000</v>
      </c>
      <c r="E1161" s="8">
        <v>6.5185630800000005E-2</v>
      </c>
    </row>
    <row r="1162" spans="1:5" x14ac:dyDescent="0.3">
      <c r="A1162" s="5">
        <v>147</v>
      </c>
      <c r="B1162" s="5" t="s">
        <v>195</v>
      </c>
      <c r="C1162" s="5">
        <v>-4</v>
      </c>
      <c r="D1162" s="9">
        <v>1E-4</v>
      </c>
      <c r="E1162" s="6">
        <v>0.79222436880000002</v>
      </c>
    </row>
    <row r="1163" spans="1:5" x14ac:dyDescent="0.3">
      <c r="A1163" s="7">
        <v>147</v>
      </c>
      <c r="B1163" s="7" t="s">
        <v>195</v>
      </c>
      <c r="C1163" s="7">
        <v>-3</v>
      </c>
      <c r="D1163" s="10">
        <v>1E-3</v>
      </c>
      <c r="E1163" s="8">
        <v>0.52815272759999998</v>
      </c>
    </row>
    <row r="1164" spans="1:5" x14ac:dyDescent="0.3">
      <c r="A1164" s="5">
        <v>147</v>
      </c>
      <c r="B1164" s="5" t="s">
        <v>195</v>
      </c>
      <c r="C1164" s="5">
        <v>-2</v>
      </c>
      <c r="D1164" s="9">
        <v>0.01</v>
      </c>
      <c r="E1164" s="6">
        <v>-1.1519964098</v>
      </c>
    </row>
    <row r="1165" spans="1:5" x14ac:dyDescent="0.3">
      <c r="A1165" s="7">
        <v>147</v>
      </c>
      <c r="B1165" s="7" t="s">
        <v>195</v>
      </c>
      <c r="C1165" s="7">
        <v>-1</v>
      </c>
      <c r="D1165" s="10">
        <v>0.1</v>
      </c>
      <c r="E1165" s="8">
        <v>-2.6546510107999999</v>
      </c>
    </row>
    <row r="1166" spans="1:5" x14ac:dyDescent="0.3">
      <c r="A1166" s="5">
        <v>147</v>
      </c>
      <c r="B1166" s="5" t="s">
        <v>195</v>
      </c>
      <c r="C1166" s="5">
        <v>0</v>
      </c>
      <c r="D1166" s="9">
        <v>1</v>
      </c>
      <c r="E1166" s="6">
        <v>-2.8964071152000002</v>
      </c>
    </row>
    <row r="1167" spans="1:5" x14ac:dyDescent="0.3">
      <c r="A1167" s="7">
        <v>147</v>
      </c>
      <c r="B1167" s="7" t="s">
        <v>195</v>
      </c>
      <c r="C1167" s="7">
        <v>1</v>
      </c>
      <c r="D1167" s="10">
        <v>10</v>
      </c>
      <c r="E1167" s="8">
        <v>-2.9181647399999999</v>
      </c>
    </row>
    <row r="1168" spans="1:5" x14ac:dyDescent="0.3">
      <c r="A1168" s="5">
        <v>147</v>
      </c>
      <c r="B1168" s="5" t="s">
        <v>195</v>
      </c>
      <c r="C1168" s="5">
        <v>2</v>
      </c>
      <c r="D1168" s="9">
        <v>100</v>
      </c>
      <c r="E1168" s="6">
        <v>-2.9137806211999999</v>
      </c>
    </row>
    <row r="1169" spans="1:5" x14ac:dyDescent="0.3">
      <c r="A1169" s="7">
        <v>147</v>
      </c>
      <c r="B1169" s="7" t="s">
        <v>195</v>
      </c>
      <c r="C1169" s="7">
        <v>3</v>
      </c>
      <c r="D1169" s="10">
        <v>1000</v>
      </c>
      <c r="E1169" s="8">
        <v>-2.9178223683</v>
      </c>
    </row>
    <row r="1170" spans="1:5" x14ac:dyDescent="0.3">
      <c r="A1170" s="5">
        <v>148</v>
      </c>
      <c r="B1170" s="5" t="s">
        <v>196</v>
      </c>
      <c r="C1170" s="5">
        <v>-4</v>
      </c>
      <c r="D1170" s="9">
        <v>1E-4</v>
      </c>
      <c r="E1170" s="6">
        <v>0.46344141300000002</v>
      </c>
    </row>
    <row r="1171" spans="1:5" x14ac:dyDescent="0.3">
      <c r="A1171" s="7">
        <v>148</v>
      </c>
      <c r="B1171" s="7" t="s">
        <v>196</v>
      </c>
      <c r="C1171" s="7">
        <v>-3</v>
      </c>
      <c r="D1171" s="10">
        <v>1E-3</v>
      </c>
      <c r="E1171" s="8">
        <v>0.71920467359999996</v>
      </c>
    </row>
    <row r="1172" spans="1:5" x14ac:dyDescent="0.3">
      <c r="A1172" s="5">
        <v>148</v>
      </c>
      <c r="B1172" s="5" t="s">
        <v>196</v>
      </c>
      <c r="C1172" s="5">
        <v>-2</v>
      </c>
      <c r="D1172" s="9">
        <v>0.01</v>
      </c>
      <c r="E1172" s="6">
        <v>0.7993529734</v>
      </c>
    </row>
    <row r="1173" spans="1:5" x14ac:dyDescent="0.3">
      <c r="A1173" s="7">
        <v>148</v>
      </c>
      <c r="B1173" s="7" t="s">
        <v>196</v>
      </c>
      <c r="C1173" s="7">
        <v>-1</v>
      </c>
      <c r="D1173" s="10">
        <v>0.1</v>
      </c>
      <c r="E1173" s="8">
        <v>0.17431150249999999</v>
      </c>
    </row>
    <row r="1174" spans="1:5" x14ac:dyDescent="0.3">
      <c r="A1174" s="5">
        <v>148</v>
      </c>
      <c r="B1174" s="5" t="s">
        <v>196</v>
      </c>
      <c r="C1174" s="5">
        <v>0</v>
      </c>
      <c r="D1174" s="9">
        <v>1</v>
      </c>
      <c r="E1174" s="6">
        <v>-8.0860972700000006E-2</v>
      </c>
    </row>
    <row r="1175" spans="1:5" x14ac:dyDescent="0.3">
      <c r="A1175" s="7">
        <v>148</v>
      </c>
      <c r="B1175" s="7" t="s">
        <v>196</v>
      </c>
      <c r="C1175" s="7">
        <v>1</v>
      </c>
      <c r="D1175" s="10">
        <v>10</v>
      </c>
      <c r="E1175" s="8">
        <v>-0.10798750560000001</v>
      </c>
    </row>
    <row r="1176" spans="1:5" x14ac:dyDescent="0.3">
      <c r="A1176" s="5">
        <v>148</v>
      </c>
      <c r="B1176" s="5" t="s">
        <v>196</v>
      </c>
      <c r="C1176" s="5">
        <v>2</v>
      </c>
      <c r="D1176" s="9">
        <v>100</v>
      </c>
      <c r="E1176" s="6">
        <v>-9.5286515299999999E-2</v>
      </c>
    </row>
    <row r="1177" spans="1:5" x14ac:dyDescent="0.3">
      <c r="A1177" s="7">
        <v>148</v>
      </c>
      <c r="B1177" s="7" t="s">
        <v>196</v>
      </c>
      <c r="C1177" s="7">
        <v>3</v>
      </c>
      <c r="D1177" s="10">
        <v>1000</v>
      </c>
      <c r="E1177" s="8">
        <v>-8.9448983100000004E-2</v>
      </c>
    </row>
    <row r="1178" spans="1:5" x14ac:dyDescent="0.3">
      <c r="A1178" s="5">
        <v>149</v>
      </c>
      <c r="B1178" s="5" t="s">
        <v>197</v>
      </c>
      <c r="C1178" s="5">
        <v>-4</v>
      </c>
      <c r="D1178" s="9">
        <v>1E-4</v>
      </c>
      <c r="E1178" s="6">
        <v>0.47702375190000001</v>
      </c>
    </row>
    <row r="1179" spans="1:5" x14ac:dyDescent="0.3">
      <c r="A1179" s="7">
        <v>149</v>
      </c>
      <c r="B1179" s="7" t="s">
        <v>197</v>
      </c>
      <c r="C1179" s="7">
        <v>-3</v>
      </c>
      <c r="D1179" s="10">
        <v>1E-3</v>
      </c>
      <c r="E1179" s="8">
        <v>0.66186949510000004</v>
      </c>
    </row>
    <row r="1180" spans="1:5" x14ac:dyDescent="0.3">
      <c r="A1180" s="5">
        <v>149</v>
      </c>
      <c r="B1180" s="5" t="s">
        <v>197</v>
      </c>
      <c r="C1180" s="5">
        <v>-2</v>
      </c>
      <c r="D1180" s="9">
        <v>0.01</v>
      </c>
      <c r="E1180" s="6">
        <v>0.88039362740000005</v>
      </c>
    </row>
    <row r="1181" spans="1:5" x14ac:dyDescent="0.3">
      <c r="A1181" s="7">
        <v>149</v>
      </c>
      <c r="B1181" s="7" t="s">
        <v>197</v>
      </c>
      <c r="C1181" s="7">
        <v>-1</v>
      </c>
      <c r="D1181" s="10">
        <v>0.1</v>
      </c>
      <c r="E1181" s="8">
        <v>0.80489661820000002</v>
      </c>
    </row>
    <row r="1182" spans="1:5" x14ac:dyDescent="0.3">
      <c r="A1182" s="5">
        <v>149</v>
      </c>
      <c r="B1182" s="5" t="s">
        <v>197</v>
      </c>
      <c r="C1182" s="5">
        <v>0</v>
      </c>
      <c r="D1182" s="9">
        <v>1</v>
      </c>
      <c r="E1182" s="6">
        <v>0.72799569419999999</v>
      </c>
    </row>
    <row r="1183" spans="1:5" x14ac:dyDescent="0.3">
      <c r="A1183" s="7">
        <v>149</v>
      </c>
      <c r="B1183" s="7" t="s">
        <v>197</v>
      </c>
      <c r="C1183" s="7">
        <v>1</v>
      </c>
      <c r="D1183" s="10">
        <v>10</v>
      </c>
      <c r="E1183" s="8">
        <v>0.72150373960000003</v>
      </c>
    </row>
    <row r="1184" spans="1:5" x14ac:dyDescent="0.3">
      <c r="A1184" s="5">
        <v>149</v>
      </c>
      <c r="B1184" s="5" t="s">
        <v>197</v>
      </c>
      <c r="C1184" s="5">
        <v>2</v>
      </c>
      <c r="D1184" s="9">
        <v>100</v>
      </c>
      <c r="E1184" s="6">
        <v>0.72093050569999995</v>
      </c>
    </row>
    <row r="1185" spans="1:5" x14ac:dyDescent="0.3">
      <c r="A1185" s="7">
        <v>149</v>
      </c>
      <c r="B1185" s="7" t="s">
        <v>197</v>
      </c>
      <c r="C1185" s="7">
        <v>3</v>
      </c>
      <c r="D1185" s="10">
        <v>1000</v>
      </c>
      <c r="E1185" s="8">
        <v>0.7203869651</v>
      </c>
    </row>
    <row r="1186" spans="1:5" x14ac:dyDescent="0.3">
      <c r="A1186" s="5">
        <v>150</v>
      </c>
      <c r="B1186" s="5" t="s">
        <v>198</v>
      </c>
      <c r="C1186" s="5">
        <v>-4</v>
      </c>
      <c r="D1186" s="9">
        <v>1E-4</v>
      </c>
      <c r="E1186" s="6">
        <v>0.32562988920000002</v>
      </c>
    </row>
    <row r="1187" spans="1:5" x14ac:dyDescent="0.3">
      <c r="A1187" s="7">
        <v>150</v>
      </c>
      <c r="B1187" s="7" t="s">
        <v>198</v>
      </c>
      <c r="C1187" s="7">
        <v>-3</v>
      </c>
      <c r="D1187" s="10">
        <v>1E-3</v>
      </c>
      <c r="E1187" s="8">
        <v>0.51804737710000004</v>
      </c>
    </row>
    <row r="1188" spans="1:5" x14ac:dyDescent="0.3">
      <c r="A1188" s="5">
        <v>150</v>
      </c>
      <c r="B1188" s="5" t="s">
        <v>198</v>
      </c>
      <c r="C1188" s="5">
        <v>-2</v>
      </c>
      <c r="D1188" s="9">
        <v>0.01</v>
      </c>
      <c r="E1188" s="6">
        <v>-0.34994571740000002</v>
      </c>
    </row>
    <row r="1189" spans="1:5" x14ac:dyDescent="0.3">
      <c r="A1189" s="7">
        <v>150</v>
      </c>
      <c r="B1189" s="7" t="s">
        <v>198</v>
      </c>
      <c r="C1189" s="7">
        <v>-1</v>
      </c>
      <c r="D1189" s="10">
        <v>0.1</v>
      </c>
      <c r="E1189" s="8">
        <v>-1.7743984573</v>
      </c>
    </row>
    <row r="1190" spans="1:5" x14ac:dyDescent="0.3">
      <c r="A1190" s="5">
        <v>150</v>
      </c>
      <c r="B1190" s="5" t="s">
        <v>198</v>
      </c>
      <c r="C1190" s="5">
        <v>0</v>
      </c>
      <c r="D1190" s="9">
        <v>1</v>
      </c>
      <c r="E1190" s="6">
        <v>-1.9151447147</v>
      </c>
    </row>
    <row r="1191" spans="1:5" x14ac:dyDescent="0.3">
      <c r="A1191" s="7">
        <v>150</v>
      </c>
      <c r="B1191" s="7" t="s">
        <v>198</v>
      </c>
      <c r="C1191" s="7">
        <v>1</v>
      </c>
      <c r="D1191" s="10">
        <v>10</v>
      </c>
      <c r="E1191" s="8">
        <v>-1.9559385671</v>
      </c>
    </row>
    <row r="1192" spans="1:5" x14ac:dyDescent="0.3">
      <c r="A1192" s="5">
        <v>150</v>
      </c>
      <c r="B1192" s="5" t="s">
        <v>198</v>
      </c>
      <c r="C1192" s="5">
        <v>2</v>
      </c>
      <c r="D1192" s="9">
        <v>100</v>
      </c>
      <c r="E1192" s="6">
        <v>-1.8750208936999999</v>
      </c>
    </row>
    <row r="1193" spans="1:5" x14ac:dyDescent="0.3">
      <c r="A1193" s="7">
        <v>150</v>
      </c>
      <c r="B1193" s="7" t="s">
        <v>198</v>
      </c>
      <c r="C1193" s="7">
        <v>3</v>
      </c>
      <c r="D1193" s="10">
        <v>1000</v>
      </c>
      <c r="E1193" s="8">
        <v>-1.9309690102999999</v>
      </c>
    </row>
    <row r="1194" spans="1:5" x14ac:dyDescent="0.3">
      <c r="A1194" s="5">
        <v>151</v>
      </c>
      <c r="B1194" s="5" t="s">
        <v>199</v>
      </c>
      <c r="C1194" s="5">
        <v>-4</v>
      </c>
      <c r="D1194" s="9">
        <v>1E-4</v>
      </c>
      <c r="E1194" s="6">
        <v>0.39281222399999999</v>
      </c>
    </row>
    <row r="1195" spans="1:5" x14ac:dyDescent="0.3">
      <c r="A1195" s="7">
        <v>151</v>
      </c>
      <c r="B1195" s="7" t="s">
        <v>199</v>
      </c>
      <c r="C1195" s="7">
        <v>-3</v>
      </c>
      <c r="D1195" s="10">
        <v>1E-3</v>
      </c>
      <c r="E1195" s="8">
        <v>0.77237514009999997</v>
      </c>
    </row>
    <row r="1196" spans="1:5" x14ac:dyDescent="0.3">
      <c r="A1196" s="5">
        <v>151</v>
      </c>
      <c r="B1196" s="5" t="s">
        <v>199</v>
      </c>
      <c r="C1196" s="5">
        <v>-2</v>
      </c>
      <c r="D1196" s="9">
        <v>0.01</v>
      </c>
      <c r="E1196" s="6">
        <v>0.6698084178</v>
      </c>
    </row>
    <row r="1197" spans="1:5" x14ac:dyDescent="0.3">
      <c r="A1197" s="7">
        <v>151</v>
      </c>
      <c r="B1197" s="7" t="s">
        <v>199</v>
      </c>
      <c r="C1197" s="7">
        <v>-1</v>
      </c>
      <c r="D1197" s="10">
        <v>0.1</v>
      </c>
      <c r="E1197" s="8">
        <v>3.6899916599999999E-2</v>
      </c>
    </row>
    <row r="1198" spans="1:5" x14ac:dyDescent="0.3">
      <c r="A1198" s="5">
        <v>151</v>
      </c>
      <c r="B1198" s="5" t="s">
        <v>199</v>
      </c>
      <c r="C1198" s="5">
        <v>0</v>
      </c>
      <c r="D1198" s="9">
        <v>1</v>
      </c>
      <c r="E1198" s="6">
        <v>-0.16420917909999999</v>
      </c>
    </row>
    <row r="1199" spans="1:5" x14ac:dyDescent="0.3">
      <c r="A1199" s="7">
        <v>151</v>
      </c>
      <c r="B1199" s="7" t="s">
        <v>199</v>
      </c>
      <c r="C1199" s="7">
        <v>1</v>
      </c>
      <c r="D1199" s="10">
        <v>10</v>
      </c>
      <c r="E1199" s="8">
        <v>-0.17655622600000001</v>
      </c>
    </row>
    <row r="1200" spans="1:5" x14ac:dyDescent="0.3">
      <c r="A1200" s="5">
        <v>151</v>
      </c>
      <c r="B1200" s="5" t="s">
        <v>199</v>
      </c>
      <c r="C1200" s="5">
        <v>2</v>
      </c>
      <c r="D1200" s="9">
        <v>100</v>
      </c>
      <c r="E1200" s="6">
        <v>-0.17727353430000001</v>
      </c>
    </row>
    <row r="1201" spans="1:5" x14ac:dyDescent="0.3">
      <c r="A1201" s="7">
        <v>151</v>
      </c>
      <c r="B1201" s="7" t="s">
        <v>199</v>
      </c>
      <c r="C1201" s="7">
        <v>3</v>
      </c>
      <c r="D1201" s="10">
        <v>1000</v>
      </c>
      <c r="E1201" s="8">
        <v>-0.17810980530000001</v>
      </c>
    </row>
    <row r="1202" spans="1:5" x14ac:dyDescent="0.3">
      <c r="A1202" s="5">
        <v>152</v>
      </c>
      <c r="B1202" s="5" t="s">
        <v>200</v>
      </c>
      <c r="C1202" s="5">
        <v>-4</v>
      </c>
      <c r="D1202" s="9">
        <v>1E-4</v>
      </c>
      <c r="E1202" s="6">
        <v>0.33835311779999999</v>
      </c>
    </row>
    <row r="1203" spans="1:5" x14ac:dyDescent="0.3">
      <c r="A1203" s="7">
        <v>152</v>
      </c>
      <c r="B1203" s="7" t="s">
        <v>200</v>
      </c>
      <c r="C1203" s="7">
        <v>-3</v>
      </c>
      <c r="D1203" s="10">
        <v>1E-3</v>
      </c>
      <c r="E1203" s="8">
        <v>0.58814497840000002</v>
      </c>
    </row>
    <row r="1204" spans="1:5" x14ac:dyDescent="0.3">
      <c r="A1204" s="5">
        <v>152</v>
      </c>
      <c r="B1204" s="5" t="s">
        <v>200</v>
      </c>
      <c r="C1204" s="5">
        <v>-2</v>
      </c>
      <c r="D1204" s="9">
        <v>0.01</v>
      </c>
      <c r="E1204" s="6">
        <v>0.84628177100000002</v>
      </c>
    </row>
    <row r="1205" spans="1:5" x14ac:dyDescent="0.3">
      <c r="A1205" s="7">
        <v>152</v>
      </c>
      <c r="B1205" s="7" t="s">
        <v>200</v>
      </c>
      <c r="C1205" s="7">
        <v>-1</v>
      </c>
      <c r="D1205" s="10">
        <v>0.1</v>
      </c>
      <c r="E1205" s="8">
        <v>0.6113503106</v>
      </c>
    </row>
    <row r="1206" spans="1:5" x14ac:dyDescent="0.3">
      <c r="A1206" s="5">
        <v>152</v>
      </c>
      <c r="B1206" s="5" t="s">
        <v>200</v>
      </c>
      <c r="C1206" s="5">
        <v>0</v>
      </c>
      <c r="D1206" s="9">
        <v>1</v>
      </c>
      <c r="E1206" s="6">
        <v>0.38825919180000001</v>
      </c>
    </row>
    <row r="1207" spans="1:5" x14ac:dyDescent="0.3">
      <c r="A1207" s="7">
        <v>152</v>
      </c>
      <c r="B1207" s="7" t="s">
        <v>200</v>
      </c>
      <c r="C1207" s="7">
        <v>1</v>
      </c>
      <c r="D1207" s="10">
        <v>10</v>
      </c>
      <c r="E1207" s="8">
        <v>0.37525011600000002</v>
      </c>
    </row>
    <row r="1208" spans="1:5" x14ac:dyDescent="0.3">
      <c r="A1208" s="5">
        <v>152</v>
      </c>
      <c r="B1208" s="5" t="s">
        <v>200</v>
      </c>
      <c r="C1208" s="5">
        <v>2</v>
      </c>
      <c r="D1208" s="9">
        <v>100</v>
      </c>
      <c r="E1208" s="6">
        <v>0.37348948059999998</v>
      </c>
    </row>
    <row r="1209" spans="1:5" x14ac:dyDescent="0.3">
      <c r="A1209" s="7">
        <v>152</v>
      </c>
      <c r="B1209" s="7" t="s">
        <v>200</v>
      </c>
      <c r="C1209" s="7">
        <v>3</v>
      </c>
      <c r="D1209" s="10">
        <v>1000</v>
      </c>
      <c r="E1209" s="8">
        <v>0.37318596209999999</v>
      </c>
    </row>
    <row r="1210" spans="1:5" x14ac:dyDescent="0.3">
      <c r="A1210" s="5">
        <v>153</v>
      </c>
      <c r="B1210" s="5" t="s">
        <v>201</v>
      </c>
      <c r="C1210" s="5">
        <v>-4</v>
      </c>
      <c r="D1210" s="9">
        <v>1E-4</v>
      </c>
      <c r="E1210" s="6">
        <v>0.63551149389999995</v>
      </c>
    </row>
    <row r="1211" spans="1:5" x14ac:dyDescent="0.3">
      <c r="A1211" s="7">
        <v>153</v>
      </c>
      <c r="B1211" s="7" t="s">
        <v>201</v>
      </c>
      <c r="C1211" s="7">
        <v>-3</v>
      </c>
      <c r="D1211" s="10">
        <v>1E-3</v>
      </c>
      <c r="E1211" s="8">
        <v>0.77916328420000003</v>
      </c>
    </row>
    <row r="1212" spans="1:5" x14ac:dyDescent="0.3">
      <c r="A1212" s="5">
        <v>153</v>
      </c>
      <c r="B1212" s="5" t="s">
        <v>201</v>
      </c>
      <c r="C1212" s="5">
        <v>-2</v>
      </c>
      <c r="D1212" s="9">
        <v>0.01</v>
      </c>
      <c r="E1212" s="6">
        <v>0.2590629767</v>
      </c>
    </row>
    <row r="1213" spans="1:5" x14ac:dyDescent="0.3">
      <c r="A1213" s="7">
        <v>153</v>
      </c>
      <c r="B1213" s="7" t="s">
        <v>201</v>
      </c>
      <c r="C1213" s="7">
        <v>-1</v>
      </c>
      <c r="D1213" s="10">
        <v>0.1</v>
      </c>
      <c r="E1213" s="8">
        <v>-0.46380358700000002</v>
      </c>
    </row>
    <row r="1214" spans="1:5" x14ac:dyDescent="0.3">
      <c r="A1214" s="5">
        <v>153</v>
      </c>
      <c r="B1214" s="5" t="s">
        <v>201</v>
      </c>
      <c r="C1214" s="5">
        <v>0</v>
      </c>
      <c r="D1214" s="9">
        <v>1</v>
      </c>
      <c r="E1214" s="6">
        <v>-0.65576356759999999</v>
      </c>
    </row>
    <row r="1215" spans="1:5" x14ac:dyDescent="0.3">
      <c r="A1215" s="7">
        <v>153</v>
      </c>
      <c r="B1215" s="7" t="s">
        <v>201</v>
      </c>
      <c r="C1215" s="7">
        <v>1</v>
      </c>
      <c r="D1215" s="10">
        <v>10</v>
      </c>
      <c r="E1215" s="8">
        <v>-0.67274631500000004</v>
      </c>
    </row>
    <row r="1216" spans="1:5" x14ac:dyDescent="0.3">
      <c r="A1216" s="5">
        <v>153</v>
      </c>
      <c r="B1216" s="5" t="s">
        <v>201</v>
      </c>
      <c r="C1216" s="5">
        <v>2</v>
      </c>
      <c r="D1216" s="9">
        <v>100</v>
      </c>
      <c r="E1216" s="6">
        <v>-0.67517676149999994</v>
      </c>
    </row>
    <row r="1217" spans="1:5" x14ac:dyDescent="0.3">
      <c r="A1217" s="7">
        <v>153</v>
      </c>
      <c r="B1217" s="7" t="s">
        <v>201</v>
      </c>
      <c r="C1217" s="7">
        <v>3</v>
      </c>
      <c r="D1217" s="10">
        <v>1000</v>
      </c>
      <c r="E1217" s="8">
        <v>-0.67421302329999999</v>
      </c>
    </row>
    <row r="1218" spans="1:5" x14ac:dyDescent="0.3">
      <c r="A1218" s="5">
        <v>154</v>
      </c>
      <c r="B1218" s="5" t="s">
        <v>202</v>
      </c>
      <c r="C1218" s="5">
        <v>-4</v>
      </c>
      <c r="D1218" s="9">
        <v>1E-4</v>
      </c>
      <c r="E1218" s="6">
        <v>0.54389041319999998</v>
      </c>
    </row>
    <row r="1219" spans="1:5" x14ac:dyDescent="0.3">
      <c r="A1219" s="7">
        <v>154</v>
      </c>
      <c r="B1219" s="7" t="s">
        <v>202</v>
      </c>
      <c r="C1219" s="7">
        <v>-3</v>
      </c>
      <c r="D1219" s="10">
        <v>1E-3</v>
      </c>
      <c r="E1219" s="8">
        <v>0.75890513169999996</v>
      </c>
    </row>
    <row r="1220" spans="1:5" x14ac:dyDescent="0.3">
      <c r="A1220" s="5">
        <v>154</v>
      </c>
      <c r="B1220" s="5" t="s">
        <v>202</v>
      </c>
      <c r="C1220" s="5">
        <v>-2</v>
      </c>
      <c r="D1220" s="9">
        <v>0.01</v>
      </c>
      <c r="E1220" s="6">
        <v>0.81729806319999998</v>
      </c>
    </row>
    <row r="1221" spans="1:5" x14ac:dyDescent="0.3">
      <c r="A1221" s="7">
        <v>154</v>
      </c>
      <c r="B1221" s="7" t="s">
        <v>202</v>
      </c>
      <c r="C1221" s="7">
        <v>-1</v>
      </c>
      <c r="D1221" s="10">
        <v>0.1</v>
      </c>
      <c r="E1221" s="8">
        <v>0.61043614420000003</v>
      </c>
    </row>
    <row r="1222" spans="1:5" x14ac:dyDescent="0.3">
      <c r="A1222" s="5">
        <v>154</v>
      </c>
      <c r="B1222" s="5" t="s">
        <v>202</v>
      </c>
      <c r="C1222" s="5">
        <v>0</v>
      </c>
      <c r="D1222" s="9">
        <v>1</v>
      </c>
      <c r="E1222" s="6">
        <v>0.51966873989999995</v>
      </c>
    </row>
    <row r="1223" spans="1:5" x14ac:dyDescent="0.3">
      <c r="A1223" s="7">
        <v>154</v>
      </c>
      <c r="B1223" s="7" t="s">
        <v>202</v>
      </c>
      <c r="C1223" s="7">
        <v>1</v>
      </c>
      <c r="D1223" s="10">
        <v>10</v>
      </c>
      <c r="E1223" s="8">
        <v>0.51229791140000003</v>
      </c>
    </row>
    <row r="1224" spans="1:5" x14ac:dyDescent="0.3">
      <c r="A1224" s="5">
        <v>154</v>
      </c>
      <c r="B1224" s="5" t="s">
        <v>202</v>
      </c>
      <c r="C1224" s="5">
        <v>2</v>
      </c>
      <c r="D1224" s="9">
        <v>100</v>
      </c>
      <c r="E1224" s="6">
        <v>0.51216824910000003</v>
      </c>
    </row>
    <row r="1225" spans="1:5" x14ac:dyDescent="0.3">
      <c r="A1225" s="7">
        <v>154</v>
      </c>
      <c r="B1225" s="7" t="s">
        <v>202</v>
      </c>
      <c r="C1225" s="7">
        <v>3</v>
      </c>
      <c r="D1225" s="10">
        <v>1000</v>
      </c>
      <c r="E1225" s="8">
        <v>0.51221969869999995</v>
      </c>
    </row>
    <row r="1226" spans="1:5" x14ac:dyDescent="0.3">
      <c r="A1226" s="5">
        <v>155</v>
      </c>
      <c r="B1226" s="5" t="s">
        <v>203</v>
      </c>
      <c r="C1226" s="5">
        <v>-4</v>
      </c>
      <c r="D1226" s="9">
        <v>1E-4</v>
      </c>
      <c r="E1226" s="6">
        <v>0.67445285229999996</v>
      </c>
    </row>
    <row r="1227" spans="1:5" x14ac:dyDescent="0.3">
      <c r="A1227" s="7">
        <v>155</v>
      </c>
      <c r="B1227" s="7" t="s">
        <v>203</v>
      </c>
      <c r="C1227" s="7">
        <v>-3</v>
      </c>
      <c r="D1227" s="10">
        <v>1E-3</v>
      </c>
      <c r="E1227" s="8">
        <v>0.71861114449999997</v>
      </c>
    </row>
    <row r="1228" spans="1:5" x14ac:dyDescent="0.3">
      <c r="A1228" s="5">
        <v>155</v>
      </c>
      <c r="B1228" s="5" t="s">
        <v>203</v>
      </c>
      <c r="C1228" s="5">
        <v>-2</v>
      </c>
      <c r="D1228" s="9">
        <v>0.01</v>
      </c>
      <c r="E1228" s="6">
        <v>0.14114576740000001</v>
      </c>
    </row>
    <row r="1229" spans="1:5" x14ac:dyDescent="0.3">
      <c r="A1229" s="7">
        <v>155</v>
      </c>
      <c r="B1229" s="7" t="s">
        <v>203</v>
      </c>
      <c r="C1229" s="7">
        <v>-1</v>
      </c>
      <c r="D1229" s="10">
        <v>0.1</v>
      </c>
      <c r="E1229" s="8">
        <v>-0.32835354690000002</v>
      </c>
    </row>
    <row r="1230" spans="1:5" x14ac:dyDescent="0.3">
      <c r="A1230" s="5">
        <v>155</v>
      </c>
      <c r="B1230" s="5" t="s">
        <v>203</v>
      </c>
      <c r="C1230" s="5">
        <v>0</v>
      </c>
      <c r="D1230" s="9">
        <v>1</v>
      </c>
      <c r="E1230" s="6">
        <v>-0.46365118259999999</v>
      </c>
    </row>
    <row r="1231" spans="1:5" x14ac:dyDescent="0.3">
      <c r="A1231" s="7">
        <v>155</v>
      </c>
      <c r="B1231" s="7" t="s">
        <v>203</v>
      </c>
      <c r="C1231" s="7">
        <v>1</v>
      </c>
      <c r="D1231" s="10">
        <v>10</v>
      </c>
      <c r="E1231" s="8">
        <v>-0.47780884429999998</v>
      </c>
    </row>
    <row r="1232" spans="1:5" x14ac:dyDescent="0.3">
      <c r="A1232" s="5">
        <v>155</v>
      </c>
      <c r="B1232" s="5" t="s">
        <v>203</v>
      </c>
      <c r="C1232" s="5">
        <v>2</v>
      </c>
      <c r="D1232" s="9">
        <v>100</v>
      </c>
      <c r="E1232" s="6">
        <v>-0.47262805949999998</v>
      </c>
    </row>
    <row r="1233" spans="1:5" x14ac:dyDescent="0.3">
      <c r="A1233" s="7">
        <v>155</v>
      </c>
      <c r="B1233" s="7" t="s">
        <v>203</v>
      </c>
      <c r="C1233" s="7">
        <v>3</v>
      </c>
      <c r="D1233" s="10">
        <v>1000</v>
      </c>
      <c r="E1233" s="8">
        <v>-0.47912797289999998</v>
      </c>
    </row>
    <row r="1234" spans="1:5" x14ac:dyDescent="0.3">
      <c r="A1234" s="5">
        <v>156</v>
      </c>
      <c r="B1234" s="5" t="s">
        <v>204</v>
      </c>
      <c r="C1234" s="5">
        <v>-4</v>
      </c>
      <c r="D1234" s="9">
        <v>1E-4</v>
      </c>
      <c r="E1234" s="6">
        <v>0.52913136780000003</v>
      </c>
    </row>
    <row r="1235" spans="1:5" x14ac:dyDescent="0.3">
      <c r="A1235" s="7">
        <v>156</v>
      </c>
      <c r="B1235" s="7" t="s">
        <v>204</v>
      </c>
      <c r="C1235" s="7">
        <v>-3</v>
      </c>
      <c r="D1235" s="10">
        <v>1E-3</v>
      </c>
      <c r="E1235" s="8">
        <v>0.77241796240000005</v>
      </c>
    </row>
    <row r="1236" spans="1:5" x14ac:dyDescent="0.3">
      <c r="A1236" s="5">
        <v>156</v>
      </c>
      <c r="B1236" s="5" t="s">
        <v>204</v>
      </c>
      <c r="C1236" s="5">
        <v>-2</v>
      </c>
      <c r="D1236" s="9">
        <v>0.01</v>
      </c>
      <c r="E1236" s="6">
        <v>0.91689669419999997</v>
      </c>
    </row>
    <row r="1237" spans="1:5" x14ac:dyDescent="0.3">
      <c r="A1237" s="7">
        <v>156</v>
      </c>
      <c r="B1237" s="7" t="s">
        <v>204</v>
      </c>
      <c r="C1237" s="7">
        <v>-1</v>
      </c>
      <c r="D1237" s="10">
        <v>0.1</v>
      </c>
      <c r="E1237" s="8">
        <v>0.79969540269999995</v>
      </c>
    </row>
    <row r="1238" spans="1:5" x14ac:dyDescent="0.3">
      <c r="A1238" s="5">
        <v>156</v>
      </c>
      <c r="B1238" s="5" t="s">
        <v>204</v>
      </c>
      <c r="C1238" s="5">
        <v>0</v>
      </c>
      <c r="D1238" s="9">
        <v>1</v>
      </c>
      <c r="E1238" s="6">
        <v>0.6953900543</v>
      </c>
    </row>
    <row r="1239" spans="1:5" x14ac:dyDescent="0.3">
      <c r="A1239" s="7">
        <v>156</v>
      </c>
      <c r="B1239" s="7" t="s">
        <v>204</v>
      </c>
      <c r="C1239" s="7">
        <v>1</v>
      </c>
      <c r="D1239" s="10">
        <v>10</v>
      </c>
      <c r="E1239" s="8">
        <v>0.68665401479999999</v>
      </c>
    </row>
    <row r="1240" spans="1:5" x14ac:dyDescent="0.3">
      <c r="A1240" s="5">
        <v>156</v>
      </c>
      <c r="B1240" s="5" t="s">
        <v>204</v>
      </c>
      <c r="C1240" s="5">
        <v>2</v>
      </c>
      <c r="D1240" s="9">
        <v>100</v>
      </c>
      <c r="E1240" s="6">
        <v>0.68635582780000004</v>
      </c>
    </row>
    <row r="1241" spans="1:5" x14ac:dyDescent="0.3">
      <c r="A1241" s="7">
        <v>156</v>
      </c>
      <c r="B1241" s="7" t="s">
        <v>204</v>
      </c>
      <c r="C1241" s="7">
        <v>3</v>
      </c>
      <c r="D1241" s="10">
        <v>1000</v>
      </c>
      <c r="E1241" s="8">
        <v>0.6865900237</v>
      </c>
    </row>
    <row r="1242" spans="1:5" x14ac:dyDescent="0.3">
      <c r="A1242" s="5">
        <v>157</v>
      </c>
      <c r="B1242" s="5" t="s">
        <v>205</v>
      </c>
      <c r="C1242" s="5">
        <v>-4</v>
      </c>
      <c r="D1242" s="9">
        <v>1E-4</v>
      </c>
      <c r="E1242" s="6">
        <v>0.46938742169999997</v>
      </c>
    </row>
    <row r="1243" spans="1:5" x14ac:dyDescent="0.3">
      <c r="A1243" s="7">
        <v>157</v>
      </c>
      <c r="B1243" s="7" t="s">
        <v>205</v>
      </c>
      <c r="C1243" s="7">
        <v>-3</v>
      </c>
      <c r="D1243" s="10">
        <v>1E-3</v>
      </c>
      <c r="E1243" s="8">
        <v>0.64556858959999996</v>
      </c>
    </row>
    <row r="1244" spans="1:5" x14ac:dyDescent="0.3">
      <c r="A1244" s="5">
        <v>157</v>
      </c>
      <c r="B1244" s="5" t="s">
        <v>205</v>
      </c>
      <c r="C1244" s="5">
        <v>-2</v>
      </c>
      <c r="D1244" s="9">
        <v>0.01</v>
      </c>
      <c r="E1244" s="6">
        <v>0.33724638010000002</v>
      </c>
    </row>
    <row r="1245" spans="1:5" x14ac:dyDescent="0.3">
      <c r="A1245" s="7">
        <v>157</v>
      </c>
      <c r="B1245" s="7" t="s">
        <v>205</v>
      </c>
      <c r="C1245" s="7">
        <v>-1</v>
      </c>
      <c r="D1245" s="10">
        <v>0.1</v>
      </c>
      <c r="E1245" s="8">
        <v>-0.49110682880000001</v>
      </c>
    </row>
    <row r="1246" spans="1:5" x14ac:dyDescent="0.3">
      <c r="A1246" s="5">
        <v>157</v>
      </c>
      <c r="B1246" s="5" t="s">
        <v>205</v>
      </c>
      <c r="C1246" s="5">
        <v>0</v>
      </c>
      <c r="D1246" s="9">
        <v>1</v>
      </c>
      <c r="E1246" s="6">
        <v>-0.72805104350000005</v>
      </c>
    </row>
    <row r="1247" spans="1:5" x14ac:dyDescent="0.3">
      <c r="A1247" s="7">
        <v>157</v>
      </c>
      <c r="B1247" s="7" t="s">
        <v>205</v>
      </c>
      <c r="C1247" s="7">
        <v>1</v>
      </c>
      <c r="D1247" s="10">
        <v>10</v>
      </c>
      <c r="E1247" s="8">
        <v>-0.75612918210000002</v>
      </c>
    </row>
    <row r="1248" spans="1:5" x14ac:dyDescent="0.3">
      <c r="A1248" s="5">
        <v>157</v>
      </c>
      <c r="B1248" s="5" t="s">
        <v>205</v>
      </c>
      <c r="C1248" s="5">
        <v>2</v>
      </c>
      <c r="D1248" s="9">
        <v>100</v>
      </c>
      <c r="E1248" s="6">
        <v>-0.75145826630000001</v>
      </c>
    </row>
    <row r="1249" spans="1:5" x14ac:dyDescent="0.3">
      <c r="A1249" s="7">
        <v>157</v>
      </c>
      <c r="B1249" s="7" t="s">
        <v>205</v>
      </c>
      <c r="C1249" s="7">
        <v>3</v>
      </c>
      <c r="D1249" s="10">
        <v>1000</v>
      </c>
      <c r="E1249" s="8">
        <v>-0.74683208140000001</v>
      </c>
    </row>
    <row r="1250" spans="1:5" x14ac:dyDescent="0.3">
      <c r="A1250" s="5">
        <v>158</v>
      </c>
      <c r="B1250" s="5" t="s">
        <v>206</v>
      </c>
      <c r="C1250" s="5">
        <v>-4</v>
      </c>
      <c r="D1250" s="9">
        <v>1E-4</v>
      </c>
      <c r="E1250" s="6">
        <v>0.52620488750000005</v>
      </c>
    </row>
    <row r="1251" spans="1:5" x14ac:dyDescent="0.3">
      <c r="A1251" s="7">
        <v>158</v>
      </c>
      <c r="B1251" s="7" t="s">
        <v>206</v>
      </c>
      <c r="C1251" s="7">
        <v>-3</v>
      </c>
      <c r="D1251" s="10">
        <v>1E-3</v>
      </c>
      <c r="E1251" s="8">
        <v>0.75700418280000004</v>
      </c>
    </row>
    <row r="1252" spans="1:5" x14ac:dyDescent="0.3">
      <c r="A1252" s="5">
        <v>158</v>
      </c>
      <c r="B1252" s="5" t="s">
        <v>206</v>
      </c>
      <c r="C1252" s="5">
        <v>-2</v>
      </c>
      <c r="D1252" s="9">
        <v>0.01</v>
      </c>
      <c r="E1252" s="6">
        <v>0.80730882280000005</v>
      </c>
    </row>
    <row r="1253" spans="1:5" x14ac:dyDescent="0.3">
      <c r="A1253" s="7">
        <v>158</v>
      </c>
      <c r="B1253" s="7" t="s">
        <v>206</v>
      </c>
      <c r="C1253" s="7">
        <v>-1</v>
      </c>
      <c r="D1253" s="10">
        <v>0.1</v>
      </c>
      <c r="E1253" s="8">
        <v>0.58611549460000001</v>
      </c>
    </row>
    <row r="1254" spans="1:5" x14ac:dyDescent="0.3">
      <c r="A1254" s="5">
        <v>158</v>
      </c>
      <c r="B1254" s="5" t="s">
        <v>206</v>
      </c>
      <c r="C1254" s="5">
        <v>0</v>
      </c>
      <c r="D1254" s="9">
        <v>1</v>
      </c>
      <c r="E1254" s="6">
        <v>0.50231858939999996</v>
      </c>
    </row>
    <row r="1255" spans="1:5" x14ac:dyDescent="0.3">
      <c r="A1255" s="7">
        <v>158</v>
      </c>
      <c r="B1255" s="7" t="s">
        <v>206</v>
      </c>
      <c r="C1255" s="7">
        <v>1</v>
      </c>
      <c r="D1255" s="10">
        <v>10</v>
      </c>
      <c r="E1255" s="8">
        <v>0.49396184329999998</v>
      </c>
    </row>
    <row r="1256" spans="1:5" x14ac:dyDescent="0.3">
      <c r="A1256" s="5">
        <v>158</v>
      </c>
      <c r="B1256" s="5" t="s">
        <v>206</v>
      </c>
      <c r="C1256" s="5">
        <v>2</v>
      </c>
      <c r="D1256" s="9">
        <v>100</v>
      </c>
      <c r="E1256" s="6">
        <v>0.49390766670000003</v>
      </c>
    </row>
    <row r="1257" spans="1:5" x14ac:dyDescent="0.3">
      <c r="A1257" s="7">
        <v>158</v>
      </c>
      <c r="B1257" s="7" t="s">
        <v>206</v>
      </c>
      <c r="C1257" s="7">
        <v>3</v>
      </c>
      <c r="D1257" s="10">
        <v>1000</v>
      </c>
      <c r="E1257" s="8">
        <v>0.49358937899999999</v>
      </c>
    </row>
    <row r="1258" spans="1:5" x14ac:dyDescent="0.3">
      <c r="A1258" s="5">
        <v>159</v>
      </c>
      <c r="B1258" s="5" t="s">
        <v>207</v>
      </c>
      <c r="C1258" s="5">
        <v>-4</v>
      </c>
      <c r="D1258" s="9">
        <v>1E-4</v>
      </c>
      <c r="E1258" s="6">
        <v>0.25912033340000001</v>
      </c>
    </row>
    <row r="1259" spans="1:5" x14ac:dyDescent="0.3">
      <c r="A1259" s="7">
        <v>159</v>
      </c>
      <c r="B1259" s="7" t="s">
        <v>207</v>
      </c>
      <c r="C1259" s="7">
        <v>-3</v>
      </c>
      <c r="D1259" s="10">
        <v>1E-3</v>
      </c>
      <c r="E1259" s="8">
        <v>0.49102809310000001</v>
      </c>
    </row>
    <row r="1260" spans="1:5" x14ac:dyDescent="0.3">
      <c r="A1260" s="5">
        <v>159</v>
      </c>
      <c r="B1260" s="5" t="s">
        <v>207</v>
      </c>
      <c r="C1260" s="5">
        <v>-2</v>
      </c>
      <c r="D1260" s="9">
        <v>0.01</v>
      </c>
      <c r="E1260" s="6">
        <v>0.89424845100000006</v>
      </c>
    </row>
    <row r="1261" spans="1:5" x14ac:dyDescent="0.3">
      <c r="A1261" s="7">
        <v>159</v>
      </c>
      <c r="B1261" s="7" t="s">
        <v>207</v>
      </c>
      <c r="C1261" s="7">
        <v>-1</v>
      </c>
      <c r="D1261" s="10">
        <v>0.1</v>
      </c>
      <c r="E1261" s="8">
        <v>0.89084043170000005</v>
      </c>
    </row>
    <row r="1262" spans="1:5" x14ac:dyDescent="0.3">
      <c r="A1262" s="5">
        <v>159</v>
      </c>
      <c r="B1262" s="5" t="s">
        <v>207</v>
      </c>
      <c r="C1262" s="5">
        <v>0</v>
      </c>
      <c r="D1262" s="9">
        <v>1</v>
      </c>
      <c r="E1262" s="6">
        <v>0.80710177920000004</v>
      </c>
    </row>
    <row r="1263" spans="1:5" x14ac:dyDescent="0.3">
      <c r="A1263" s="7">
        <v>159</v>
      </c>
      <c r="B1263" s="7" t="s">
        <v>207</v>
      </c>
      <c r="C1263" s="7">
        <v>1</v>
      </c>
      <c r="D1263" s="10">
        <v>10</v>
      </c>
      <c r="E1263" s="8">
        <v>0.79875455009999996</v>
      </c>
    </row>
    <row r="1264" spans="1:5" x14ac:dyDescent="0.3">
      <c r="A1264" s="5">
        <v>159</v>
      </c>
      <c r="B1264" s="5" t="s">
        <v>207</v>
      </c>
      <c r="C1264" s="5">
        <v>2</v>
      </c>
      <c r="D1264" s="9">
        <v>100</v>
      </c>
      <c r="E1264" s="6">
        <v>0.7968250898</v>
      </c>
    </row>
    <row r="1265" spans="1:5" x14ac:dyDescent="0.3">
      <c r="A1265" s="7">
        <v>159</v>
      </c>
      <c r="B1265" s="7" t="s">
        <v>207</v>
      </c>
      <c r="C1265" s="7">
        <v>3</v>
      </c>
      <c r="D1265" s="10">
        <v>1000</v>
      </c>
      <c r="E1265" s="8">
        <v>0.79939386619999997</v>
      </c>
    </row>
    <row r="1266" spans="1:5" x14ac:dyDescent="0.3">
      <c r="A1266" s="5">
        <v>160</v>
      </c>
      <c r="B1266" s="5" t="s">
        <v>208</v>
      </c>
      <c r="C1266" s="5">
        <v>-4</v>
      </c>
      <c r="D1266" s="9">
        <v>1E-4</v>
      </c>
      <c r="E1266" s="6">
        <v>0.72536023100000002</v>
      </c>
    </row>
    <row r="1267" spans="1:5" x14ac:dyDescent="0.3">
      <c r="A1267" s="7">
        <v>160</v>
      </c>
      <c r="B1267" s="7" t="s">
        <v>208</v>
      </c>
      <c r="C1267" s="7">
        <v>-3</v>
      </c>
      <c r="D1267" s="10">
        <v>1E-3</v>
      </c>
      <c r="E1267" s="8">
        <v>0.81553723050000004</v>
      </c>
    </row>
    <row r="1268" spans="1:5" x14ac:dyDescent="0.3">
      <c r="A1268" s="5">
        <v>160</v>
      </c>
      <c r="B1268" s="5" t="s">
        <v>208</v>
      </c>
      <c r="C1268" s="5">
        <v>-2</v>
      </c>
      <c r="D1268" s="9">
        <v>0.01</v>
      </c>
      <c r="E1268" s="6">
        <v>0.62008840340000004</v>
      </c>
    </row>
    <row r="1269" spans="1:5" x14ac:dyDescent="0.3">
      <c r="A1269" s="7">
        <v>160</v>
      </c>
      <c r="B1269" s="7" t="s">
        <v>208</v>
      </c>
      <c r="C1269" s="7">
        <v>-1</v>
      </c>
      <c r="D1269" s="10">
        <v>0.1</v>
      </c>
      <c r="E1269" s="8">
        <v>-0.29441949830000003</v>
      </c>
    </row>
    <row r="1270" spans="1:5" x14ac:dyDescent="0.3">
      <c r="A1270" s="5">
        <v>160</v>
      </c>
      <c r="B1270" s="5" t="s">
        <v>208</v>
      </c>
      <c r="C1270" s="5">
        <v>0</v>
      </c>
      <c r="D1270" s="9">
        <v>1</v>
      </c>
      <c r="E1270" s="6">
        <v>-0.79985729910000003</v>
      </c>
    </row>
    <row r="1271" spans="1:5" x14ac:dyDescent="0.3">
      <c r="A1271" s="7">
        <v>160</v>
      </c>
      <c r="B1271" s="7" t="s">
        <v>208</v>
      </c>
      <c r="C1271" s="7">
        <v>1</v>
      </c>
      <c r="D1271" s="10">
        <v>10</v>
      </c>
      <c r="E1271" s="8">
        <v>-0.87691410240000001</v>
      </c>
    </row>
    <row r="1272" spans="1:5" x14ac:dyDescent="0.3">
      <c r="A1272" s="5">
        <v>160</v>
      </c>
      <c r="B1272" s="5" t="s">
        <v>208</v>
      </c>
      <c r="C1272" s="5">
        <v>2</v>
      </c>
      <c r="D1272" s="9">
        <v>100</v>
      </c>
      <c r="E1272" s="6">
        <v>-0.87691410240000001</v>
      </c>
    </row>
    <row r="1273" spans="1:5" x14ac:dyDescent="0.3">
      <c r="A1273" s="7">
        <v>160</v>
      </c>
      <c r="B1273" s="7" t="s">
        <v>208</v>
      </c>
      <c r="C1273" s="7">
        <v>3</v>
      </c>
      <c r="D1273" s="10">
        <v>1000</v>
      </c>
      <c r="E1273" s="8">
        <v>-0.87691410240000001</v>
      </c>
    </row>
    <row r="1274" spans="1:5" x14ac:dyDescent="0.3">
      <c r="A1274" s="5">
        <v>161</v>
      </c>
      <c r="B1274" s="5" t="s">
        <v>209</v>
      </c>
      <c r="C1274" s="5">
        <v>-4</v>
      </c>
      <c r="D1274" s="9">
        <v>1E-4</v>
      </c>
      <c r="E1274" s="6">
        <v>0.57310784660000003</v>
      </c>
    </row>
    <row r="1275" spans="1:5" x14ac:dyDescent="0.3">
      <c r="A1275" s="7">
        <v>161</v>
      </c>
      <c r="B1275" s="7" t="s">
        <v>209</v>
      </c>
      <c r="C1275" s="7">
        <v>-3</v>
      </c>
      <c r="D1275" s="10">
        <v>1E-3</v>
      </c>
      <c r="E1275" s="8">
        <v>0.80376661559999996</v>
      </c>
    </row>
    <row r="1276" spans="1:5" x14ac:dyDescent="0.3">
      <c r="A1276" s="5">
        <v>161</v>
      </c>
      <c r="B1276" s="5" t="s">
        <v>209</v>
      </c>
      <c r="C1276" s="5">
        <v>-2</v>
      </c>
      <c r="D1276" s="9">
        <v>0.01</v>
      </c>
      <c r="E1276" s="6">
        <v>-0.5996499569</v>
      </c>
    </row>
    <row r="1277" spans="1:5" x14ac:dyDescent="0.3">
      <c r="A1277" s="7">
        <v>161</v>
      </c>
      <c r="B1277" s="7" t="s">
        <v>209</v>
      </c>
      <c r="C1277" s="7">
        <v>-1</v>
      </c>
      <c r="D1277" s="10">
        <v>0.1</v>
      </c>
      <c r="E1277" s="8">
        <v>-1.4900405166999999</v>
      </c>
    </row>
    <row r="1278" spans="1:5" x14ac:dyDescent="0.3">
      <c r="A1278" s="5">
        <v>161</v>
      </c>
      <c r="B1278" s="5" t="s">
        <v>209</v>
      </c>
      <c r="C1278" s="5">
        <v>0</v>
      </c>
      <c r="D1278" s="9">
        <v>1</v>
      </c>
      <c r="E1278" s="6">
        <v>-1.6764716111</v>
      </c>
    </row>
    <row r="1279" spans="1:5" x14ac:dyDescent="0.3">
      <c r="A1279" s="7">
        <v>161</v>
      </c>
      <c r="B1279" s="7" t="s">
        <v>209</v>
      </c>
      <c r="C1279" s="7">
        <v>1</v>
      </c>
      <c r="D1279" s="10">
        <v>10</v>
      </c>
      <c r="E1279" s="8">
        <v>-1.6897243416000001</v>
      </c>
    </row>
    <row r="1280" spans="1:5" x14ac:dyDescent="0.3">
      <c r="A1280" s="5">
        <v>161</v>
      </c>
      <c r="B1280" s="5" t="s">
        <v>209</v>
      </c>
      <c r="C1280" s="5">
        <v>2</v>
      </c>
      <c r="D1280" s="9">
        <v>100</v>
      </c>
      <c r="E1280" s="6">
        <v>-1.6879468174000001</v>
      </c>
    </row>
    <row r="1281" spans="1:5" x14ac:dyDescent="0.3">
      <c r="A1281" s="7">
        <v>161</v>
      </c>
      <c r="B1281" s="7" t="s">
        <v>209</v>
      </c>
      <c r="C1281" s="7">
        <v>3</v>
      </c>
      <c r="D1281" s="10">
        <v>1000</v>
      </c>
      <c r="E1281" s="8">
        <v>-1.6869526731</v>
      </c>
    </row>
    <row r="1282" spans="1:5" x14ac:dyDescent="0.3">
      <c r="A1282" s="5">
        <v>162</v>
      </c>
      <c r="B1282" s="5" t="s">
        <v>210</v>
      </c>
      <c r="C1282" s="5">
        <v>-4</v>
      </c>
      <c r="D1282" s="9">
        <v>1E-4</v>
      </c>
      <c r="E1282" s="6">
        <v>0.65485472649999998</v>
      </c>
    </row>
    <row r="1283" spans="1:5" x14ac:dyDescent="0.3">
      <c r="A1283" s="7">
        <v>162</v>
      </c>
      <c r="B1283" s="7" t="s">
        <v>210</v>
      </c>
      <c r="C1283" s="7">
        <v>-3</v>
      </c>
      <c r="D1283" s="10">
        <v>1E-3</v>
      </c>
      <c r="E1283" s="8">
        <v>0.76902891259999995</v>
      </c>
    </row>
    <row r="1284" spans="1:5" x14ac:dyDescent="0.3">
      <c r="A1284" s="5">
        <v>162</v>
      </c>
      <c r="B1284" s="5" t="s">
        <v>210</v>
      </c>
      <c r="C1284" s="5">
        <v>-2</v>
      </c>
      <c r="D1284" s="9">
        <v>0.01</v>
      </c>
      <c r="E1284" s="6">
        <v>0.60340683589999999</v>
      </c>
    </row>
    <row r="1285" spans="1:5" x14ac:dyDescent="0.3">
      <c r="A1285" s="7">
        <v>162</v>
      </c>
      <c r="B1285" s="7" t="s">
        <v>210</v>
      </c>
      <c r="C1285" s="7">
        <v>-1</v>
      </c>
      <c r="D1285" s="10">
        <v>0.1</v>
      </c>
      <c r="E1285" s="8">
        <v>0.2631939217</v>
      </c>
    </row>
    <row r="1286" spans="1:5" x14ac:dyDescent="0.3">
      <c r="A1286" s="5">
        <v>162</v>
      </c>
      <c r="B1286" s="5" t="s">
        <v>210</v>
      </c>
      <c r="C1286" s="5">
        <v>0</v>
      </c>
      <c r="D1286" s="9">
        <v>1</v>
      </c>
      <c r="E1286" s="6">
        <v>6.0055045699999997E-2</v>
      </c>
    </row>
    <row r="1287" spans="1:5" x14ac:dyDescent="0.3">
      <c r="A1287" s="7">
        <v>162</v>
      </c>
      <c r="B1287" s="7" t="s">
        <v>210</v>
      </c>
      <c r="C1287" s="7">
        <v>1</v>
      </c>
      <c r="D1287" s="10">
        <v>10</v>
      </c>
      <c r="E1287" s="8">
        <v>2.9940951600000001E-2</v>
      </c>
    </row>
    <row r="1288" spans="1:5" x14ac:dyDescent="0.3">
      <c r="A1288" s="5">
        <v>162</v>
      </c>
      <c r="B1288" s="5" t="s">
        <v>210</v>
      </c>
      <c r="C1288" s="5">
        <v>2</v>
      </c>
      <c r="D1288" s="9">
        <v>100</v>
      </c>
      <c r="E1288" s="6">
        <v>4.3044099199999998E-2</v>
      </c>
    </row>
    <row r="1289" spans="1:5" x14ac:dyDescent="0.3">
      <c r="A1289" s="7">
        <v>162</v>
      </c>
      <c r="B1289" s="7" t="s">
        <v>210</v>
      </c>
      <c r="C1289" s="7">
        <v>3</v>
      </c>
      <c r="D1289" s="10">
        <v>1000</v>
      </c>
      <c r="E1289" s="8">
        <v>3.6522850099999997E-2</v>
      </c>
    </row>
    <row r="1290" spans="1:5" x14ac:dyDescent="0.3">
      <c r="A1290" s="5">
        <v>163</v>
      </c>
      <c r="B1290" s="5" t="s">
        <v>211</v>
      </c>
      <c r="C1290" s="5">
        <v>-4</v>
      </c>
      <c r="D1290" s="9">
        <v>1E-4</v>
      </c>
      <c r="E1290" s="6">
        <v>0.38206716540000002</v>
      </c>
    </row>
    <row r="1291" spans="1:5" x14ac:dyDescent="0.3">
      <c r="A1291" s="7">
        <v>163</v>
      </c>
      <c r="B1291" s="7" t="s">
        <v>211</v>
      </c>
      <c r="C1291" s="7">
        <v>-3</v>
      </c>
      <c r="D1291" s="10">
        <v>1E-3</v>
      </c>
      <c r="E1291" s="8">
        <v>0.58169697450000002</v>
      </c>
    </row>
    <row r="1292" spans="1:5" x14ac:dyDescent="0.3">
      <c r="A1292" s="5">
        <v>163</v>
      </c>
      <c r="B1292" s="5" t="s">
        <v>211</v>
      </c>
      <c r="C1292" s="5">
        <v>-2</v>
      </c>
      <c r="D1292" s="9">
        <v>0.01</v>
      </c>
      <c r="E1292" s="6">
        <v>0.87796405570000002</v>
      </c>
    </row>
    <row r="1293" spans="1:5" x14ac:dyDescent="0.3">
      <c r="A1293" s="7">
        <v>163</v>
      </c>
      <c r="B1293" s="7" t="s">
        <v>211</v>
      </c>
      <c r="C1293" s="7">
        <v>-1</v>
      </c>
      <c r="D1293" s="10">
        <v>0.1</v>
      </c>
      <c r="E1293" s="8">
        <v>0.77853936759999998</v>
      </c>
    </row>
    <row r="1294" spans="1:5" x14ac:dyDescent="0.3">
      <c r="A1294" s="5">
        <v>163</v>
      </c>
      <c r="B1294" s="5" t="s">
        <v>211</v>
      </c>
      <c r="C1294" s="5">
        <v>0</v>
      </c>
      <c r="D1294" s="9">
        <v>1</v>
      </c>
      <c r="E1294" s="6">
        <v>0.69066111019999998</v>
      </c>
    </row>
    <row r="1295" spans="1:5" x14ac:dyDescent="0.3">
      <c r="A1295" s="7">
        <v>163</v>
      </c>
      <c r="B1295" s="7" t="s">
        <v>211</v>
      </c>
      <c r="C1295" s="7">
        <v>1</v>
      </c>
      <c r="D1295" s="10">
        <v>10</v>
      </c>
      <c r="E1295" s="8">
        <v>0.67038001690000004</v>
      </c>
    </row>
    <row r="1296" spans="1:5" x14ac:dyDescent="0.3">
      <c r="A1296" s="5">
        <v>163</v>
      </c>
      <c r="B1296" s="5" t="s">
        <v>211</v>
      </c>
      <c r="C1296" s="5">
        <v>2</v>
      </c>
      <c r="D1296" s="9">
        <v>100</v>
      </c>
      <c r="E1296" s="6">
        <v>0.67047661839999995</v>
      </c>
    </row>
    <row r="1297" spans="1:5" x14ac:dyDescent="0.3">
      <c r="A1297" s="7">
        <v>163</v>
      </c>
      <c r="B1297" s="7" t="s">
        <v>211</v>
      </c>
      <c r="C1297" s="7">
        <v>3</v>
      </c>
      <c r="D1297" s="10">
        <v>1000</v>
      </c>
      <c r="E1297" s="8">
        <v>0.67084948069999994</v>
      </c>
    </row>
    <row r="1298" spans="1:5" x14ac:dyDescent="0.3">
      <c r="A1298" s="5">
        <v>164</v>
      </c>
      <c r="B1298" s="5" t="s">
        <v>212</v>
      </c>
      <c r="C1298" s="5">
        <v>-4</v>
      </c>
      <c r="D1298" s="9">
        <v>1E-4</v>
      </c>
      <c r="E1298" s="6">
        <v>0.34292993890000001</v>
      </c>
    </row>
    <row r="1299" spans="1:5" x14ac:dyDescent="0.3">
      <c r="A1299" s="7">
        <v>164</v>
      </c>
      <c r="B1299" s="7" t="s">
        <v>212</v>
      </c>
      <c r="C1299" s="7">
        <v>-3</v>
      </c>
      <c r="D1299" s="10">
        <v>1E-3</v>
      </c>
      <c r="E1299" s="8">
        <v>0.70991294120000004</v>
      </c>
    </row>
    <row r="1300" spans="1:5" x14ac:dyDescent="0.3">
      <c r="A1300" s="5">
        <v>164</v>
      </c>
      <c r="B1300" s="5" t="s">
        <v>212</v>
      </c>
      <c r="C1300" s="5">
        <v>-2</v>
      </c>
      <c r="D1300" s="9">
        <v>0.01</v>
      </c>
      <c r="E1300" s="6">
        <v>0.4975666715</v>
      </c>
    </row>
    <row r="1301" spans="1:5" x14ac:dyDescent="0.3">
      <c r="A1301" s="7">
        <v>164</v>
      </c>
      <c r="B1301" s="7" t="s">
        <v>212</v>
      </c>
      <c r="C1301" s="7">
        <v>-1</v>
      </c>
      <c r="D1301" s="10">
        <v>0.1</v>
      </c>
      <c r="E1301" s="8">
        <v>-1.2988662669</v>
      </c>
    </row>
    <row r="1302" spans="1:5" x14ac:dyDescent="0.3">
      <c r="A1302" s="5">
        <v>164</v>
      </c>
      <c r="B1302" s="5" t="s">
        <v>212</v>
      </c>
      <c r="C1302" s="5">
        <v>0</v>
      </c>
      <c r="D1302" s="9">
        <v>1</v>
      </c>
      <c r="E1302" s="6">
        <v>-1.7697095521999999</v>
      </c>
    </row>
    <row r="1303" spans="1:5" x14ac:dyDescent="0.3">
      <c r="A1303" s="7">
        <v>164</v>
      </c>
      <c r="B1303" s="7" t="s">
        <v>212</v>
      </c>
      <c r="C1303" s="7">
        <v>1</v>
      </c>
      <c r="D1303" s="10">
        <v>10</v>
      </c>
      <c r="E1303" s="8">
        <v>-1.7901294409999999</v>
      </c>
    </row>
    <row r="1304" spans="1:5" x14ac:dyDescent="0.3">
      <c r="A1304" s="5">
        <v>164</v>
      </c>
      <c r="B1304" s="5" t="s">
        <v>212</v>
      </c>
      <c r="C1304" s="5">
        <v>2</v>
      </c>
      <c r="D1304" s="9">
        <v>100</v>
      </c>
      <c r="E1304" s="6">
        <v>-1.7886865159000001</v>
      </c>
    </row>
    <row r="1305" spans="1:5" x14ac:dyDescent="0.3">
      <c r="A1305" s="7">
        <v>164</v>
      </c>
      <c r="B1305" s="7" t="s">
        <v>212</v>
      </c>
      <c r="C1305" s="7">
        <v>3</v>
      </c>
      <c r="D1305" s="10">
        <v>1000</v>
      </c>
      <c r="E1305" s="8">
        <v>-1.7978907657000001</v>
      </c>
    </row>
    <row r="1306" spans="1:5" x14ac:dyDescent="0.3">
      <c r="A1306" s="5">
        <v>165</v>
      </c>
      <c r="B1306" s="5" t="s">
        <v>213</v>
      </c>
      <c r="C1306" s="5">
        <v>-4</v>
      </c>
      <c r="D1306" s="9">
        <v>1E-4</v>
      </c>
      <c r="E1306" s="6">
        <v>0.53529840959999997</v>
      </c>
    </row>
    <row r="1307" spans="1:5" x14ac:dyDescent="0.3">
      <c r="A1307" s="7">
        <v>165</v>
      </c>
      <c r="B1307" s="7" t="s">
        <v>213</v>
      </c>
      <c r="C1307" s="7">
        <v>-3</v>
      </c>
      <c r="D1307" s="10">
        <v>1E-3</v>
      </c>
      <c r="E1307" s="8">
        <v>0.64462182030000004</v>
      </c>
    </row>
    <row r="1308" spans="1:5" x14ac:dyDescent="0.3">
      <c r="A1308" s="5">
        <v>165</v>
      </c>
      <c r="B1308" s="5" t="s">
        <v>213</v>
      </c>
      <c r="C1308" s="5">
        <v>-2</v>
      </c>
      <c r="D1308" s="9">
        <v>0.01</v>
      </c>
      <c r="E1308" s="6">
        <v>0.92398759009999998</v>
      </c>
    </row>
    <row r="1309" spans="1:5" x14ac:dyDescent="0.3">
      <c r="A1309" s="7">
        <v>165</v>
      </c>
      <c r="B1309" s="7" t="s">
        <v>213</v>
      </c>
      <c r="C1309" s="7">
        <v>-1</v>
      </c>
      <c r="D1309" s="10">
        <v>0.1</v>
      </c>
      <c r="E1309" s="8">
        <v>0.71093985950000005</v>
      </c>
    </row>
    <row r="1310" spans="1:5" x14ac:dyDescent="0.3">
      <c r="A1310" s="5">
        <v>165</v>
      </c>
      <c r="B1310" s="5" t="s">
        <v>213</v>
      </c>
      <c r="C1310" s="5">
        <v>0</v>
      </c>
      <c r="D1310" s="9">
        <v>1</v>
      </c>
      <c r="E1310" s="6">
        <v>0.55145936250000005</v>
      </c>
    </row>
    <row r="1311" spans="1:5" x14ac:dyDescent="0.3">
      <c r="A1311" s="7">
        <v>165</v>
      </c>
      <c r="B1311" s="7" t="s">
        <v>213</v>
      </c>
      <c r="C1311" s="7">
        <v>1</v>
      </c>
      <c r="D1311" s="10">
        <v>10</v>
      </c>
      <c r="E1311" s="8">
        <v>0.53665612100000004</v>
      </c>
    </row>
    <row r="1312" spans="1:5" x14ac:dyDescent="0.3">
      <c r="A1312" s="5">
        <v>165</v>
      </c>
      <c r="B1312" s="5" t="s">
        <v>213</v>
      </c>
      <c r="C1312" s="5">
        <v>2</v>
      </c>
      <c r="D1312" s="9">
        <v>100</v>
      </c>
      <c r="E1312" s="6">
        <v>0.53863472720000005</v>
      </c>
    </row>
    <row r="1313" spans="1:5" x14ac:dyDescent="0.3">
      <c r="A1313" s="7">
        <v>165</v>
      </c>
      <c r="B1313" s="7" t="s">
        <v>213</v>
      </c>
      <c r="C1313" s="7">
        <v>3</v>
      </c>
      <c r="D1313" s="10">
        <v>1000</v>
      </c>
      <c r="E1313" s="8">
        <v>0.53778277689999998</v>
      </c>
    </row>
    <row r="1314" spans="1:5" x14ac:dyDescent="0.3">
      <c r="A1314" s="5">
        <v>166</v>
      </c>
      <c r="B1314" s="5" t="s">
        <v>214</v>
      </c>
      <c r="C1314" s="5">
        <v>-4</v>
      </c>
      <c r="D1314" s="9">
        <v>1E-4</v>
      </c>
      <c r="E1314" s="6">
        <v>0.51528634679999996</v>
      </c>
    </row>
    <row r="1315" spans="1:5" x14ac:dyDescent="0.3">
      <c r="A1315" s="7">
        <v>166</v>
      </c>
      <c r="B1315" s="7" t="s">
        <v>214</v>
      </c>
      <c r="C1315" s="7">
        <v>-3</v>
      </c>
      <c r="D1315" s="10">
        <v>1E-3</v>
      </c>
      <c r="E1315" s="8">
        <v>0.62871581720000003</v>
      </c>
    </row>
    <row r="1316" spans="1:5" x14ac:dyDescent="0.3">
      <c r="A1316" s="5">
        <v>166</v>
      </c>
      <c r="B1316" s="5" t="s">
        <v>214</v>
      </c>
      <c r="C1316" s="5">
        <v>-2</v>
      </c>
      <c r="D1316" s="9">
        <v>0.01</v>
      </c>
      <c r="E1316" s="6">
        <v>0.2643547678</v>
      </c>
    </row>
    <row r="1317" spans="1:5" x14ac:dyDescent="0.3">
      <c r="A1317" s="7">
        <v>166</v>
      </c>
      <c r="B1317" s="7" t="s">
        <v>214</v>
      </c>
      <c r="C1317" s="7">
        <v>-1</v>
      </c>
      <c r="D1317" s="10">
        <v>0.1</v>
      </c>
      <c r="E1317" s="8">
        <v>-0.39343499739999999</v>
      </c>
    </row>
    <row r="1318" spans="1:5" x14ac:dyDescent="0.3">
      <c r="A1318" s="5">
        <v>166</v>
      </c>
      <c r="B1318" s="5" t="s">
        <v>214</v>
      </c>
      <c r="C1318" s="5">
        <v>0</v>
      </c>
      <c r="D1318" s="9">
        <v>1</v>
      </c>
      <c r="E1318" s="6">
        <v>-0.62729270159999995</v>
      </c>
    </row>
    <row r="1319" spans="1:5" x14ac:dyDescent="0.3">
      <c r="A1319" s="7">
        <v>166</v>
      </c>
      <c r="B1319" s="7" t="s">
        <v>214</v>
      </c>
      <c r="C1319" s="7">
        <v>1</v>
      </c>
      <c r="D1319" s="10">
        <v>10</v>
      </c>
      <c r="E1319" s="8">
        <v>-0.64454175059999996</v>
      </c>
    </row>
    <row r="1320" spans="1:5" x14ac:dyDescent="0.3">
      <c r="A1320" s="5">
        <v>166</v>
      </c>
      <c r="B1320" s="5" t="s">
        <v>214</v>
      </c>
      <c r="C1320" s="5">
        <v>2</v>
      </c>
      <c r="D1320" s="9">
        <v>100</v>
      </c>
      <c r="E1320" s="6">
        <v>-0.63797201709999996</v>
      </c>
    </row>
    <row r="1321" spans="1:5" x14ac:dyDescent="0.3">
      <c r="A1321" s="7">
        <v>166</v>
      </c>
      <c r="B1321" s="7" t="s">
        <v>214</v>
      </c>
      <c r="C1321" s="7">
        <v>3</v>
      </c>
      <c r="D1321" s="10">
        <v>1000</v>
      </c>
      <c r="E1321" s="8">
        <v>-0.64253622099999996</v>
      </c>
    </row>
    <row r="1322" spans="1:5" x14ac:dyDescent="0.3">
      <c r="A1322" s="5">
        <v>167</v>
      </c>
      <c r="B1322" s="5" t="s">
        <v>215</v>
      </c>
      <c r="C1322" s="5">
        <v>-4</v>
      </c>
      <c r="D1322" s="9">
        <v>1E-4</v>
      </c>
      <c r="E1322" s="6">
        <v>0.36641009949999997</v>
      </c>
    </row>
    <row r="1323" spans="1:5" x14ac:dyDescent="0.3">
      <c r="A1323" s="7">
        <v>167</v>
      </c>
      <c r="B1323" s="7" t="s">
        <v>215</v>
      </c>
      <c r="C1323" s="7">
        <v>-3</v>
      </c>
      <c r="D1323" s="10">
        <v>1E-3</v>
      </c>
      <c r="E1323" s="8">
        <v>0.69161840289999998</v>
      </c>
    </row>
    <row r="1324" spans="1:5" x14ac:dyDescent="0.3">
      <c r="A1324" s="5">
        <v>167</v>
      </c>
      <c r="B1324" s="5" t="s">
        <v>215</v>
      </c>
      <c r="C1324" s="5">
        <v>-2</v>
      </c>
      <c r="D1324" s="9">
        <v>0.01</v>
      </c>
      <c r="E1324" s="6">
        <v>0.88743128189999998</v>
      </c>
    </row>
    <row r="1325" spans="1:5" x14ac:dyDescent="0.3">
      <c r="A1325" s="7">
        <v>167</v>
      </c>
      <c r="B1325" s="7" t="s">
        <v>215</v>
      </c>
      <c r="C1325" s="7">
        <v>-1</v>
      </c>
      <c r="D1325" s="10">
        <v>0.1</v>
      </c>
      <c r="E1325" s="8">
        <v>0.28207718710000002</v>
      </c>
    </row>
    <row r="1326" spans="1:5" x14ac:dyDescent="0.3">
      <c r="A1326" s="5">
        <v>167</v>
      </c>
      <c r="B1326" s="5" t="s">
        <v>215</v>
      </c>
      <c r="C1326" s="5">
        <v>0</v>
      </c>
      <c r="D1326" s="9">
        <v>1</v>
      </c>
      <c r="E1326" s="6">
        <v>2.1730165700000002E-2</v>
      </c>
    </row>
    <row r="1327" spans="1:5" x14ac:dyDescent="0.3">
      <c r="A1327" s="7">
        <v>167</v>
      </c>
      <c r="B1327" s="7" t="s">
        <v>215</v>
      </c>
      <c r="C1327" s="7">
        <v>1</v>
      </c>
      <c r="D1327" s="10">
        <v>10</v>
      </c>
      <c r="E1327" s="8">
        <v>6.2143386999999996E-3</v>
      </c>
    </row>
    <row r="1328" spans="1:5" x14ac:dyDescent="0.3">
      <c r="A1328" s="5">
        <v>167</v>
      </c>
      <c r="B1328" s="5" t="s">
        <v>215</v>
      </c>
      <c r="C1328" s="5">
        <v>2</v>
      </c>
      <c r="D1328" s="9">
        <v>100</v>
      </c>
      <c r="E1328" s="6">
        <v>-3.4354803E-3</v>
      </c>
    </row>
    <row r="1329" spans="1:5" x14ac:dyDescent="0.3">
      <c r="A1329" s="7">
        <v>167</v>
      </c>
      <c r="B1329" s="7" t="s">
        <v>215</v>
      </c>
      <c r="C1329" s="7">
        <v>3</v>
      </c>
      <c r="D1329" s="10">
        <v>1000</v>
      </c>
      <c r="E1329" s="8">
        <v>1.1998677000000001E-3</v>
      </c>
    </row>
    <row r="1330" spans="1:5" x14ac:dyDescent="0.3">
      <c r="A1330" s="5">
        <v>168</v>
      </c>
      <c r="B1330" s="5" t="s">
        <v>216</v>
      </c>
      <c r="C1330" s="5">
        <v>-4</v>
      </c>
      <c r="D1330" s="9">
        <v>1E-4</v>
      </c>
      <c r="E1330" s="6">
        <v>-1.1652396551999999</v>
      </c>
    </row>
    <row r="1331" spans="1:5" x14ac:dyDescent="0.3">
      <c r="A1331" s="7">
        <v>168</v>
      </c>
      <c r="B1331" s="7" t="s">
        <v>216</v>
      </c>
      <c r="C1331" s="7">
        <v>-3</v>
      </c>
      <c r="D1331" s="10">
        <v>1E-3</v>
      </c>
      <c r="E1331" s="8">
        <v>-1.1285931034000001</v>
      </c>
    </row>
    <row r="1332" spans="1:5" x14ac:dyDescent="0.3">
      <c r="A1332" s="5">
        <v>168</v>
      </c>
      <c r="B1332" s="5" t="s">
        <v>216</v>
      </c>
      <c r="C1332" s="5">
        <v>-2</v>
      </c>
      <c r="D1332" s="9">
        <v>0.01</v>
      </c>
      <c r="E1332" s="6">
        <v>-1.3855896552</v>
      </c>
    </row>
    <row r="1333" spans="1:5" x14ac:dyDescent="0.3">
      <c r="A1333" s="7">
        <v>168</v>
      </c>
      <c r="B1333" s="7" t="s">
        <v>216</v>
      </c>
      <c r="C1333" s="7">
        <v>-1</v>
      </c>
      <c r="D1333" s="10">
        <v>0.1</v>
      </c>
      <c r="E1333" s="8">
        <v>-1.5737310345</v>
      </c>
    </row>
    <row r="1334" spans="1:5" x14ac:dyDescent="0.3">
      <c r="A1334" s="5">
        <v>168</v>
      </c>
      <c r="B1334" s="5" t="s">
        <v>216</v>
      </c>
      <c r="C1334" s="5">
        <v>0</v>
      </c>
      <c r="D1334" s="9">
        <v>1</v>
      </c>
      <c r="E1334" s="6">
        <v>-2.2516586206999998</v>
      </c>
    </row>
    <row r="1335" spans="1:5" x14ac:dyDescent="0.3">
      <c r="A1335" s="7">
        <v>168</v>
      </c>
      <c r="B1335" s="7" t="s">
        <v>216</v>
      </c>
      <c r="C1335" s="7">
        <v>1</v>
      </c>
      <c r="D1335" s="10">
        <v>10</v>
      </c>
      <c r="E1335" s="8">
        <v>-2.3620689654999998</v>
      </c>
    </row>
    <row r="1336" spans="1:5" x14ac:dyDescent="0.3">
      <c r="A1336" s="5">
        <v>168</v>
      </c>
      <c r="B1336" s="5" t="s">
        <v>216</v>
      </c>
      <c r="C1336" s="5">
        <v>2</v>
      </c>
      <c r="D1336" s="9">
        <v>100</v>
      </c>
      <c r="E1336" s="6">
        <v>-2.3620689654999998</v>
      </c>
    </row>
    <row r="1337" spans="1:5" x14ac:dyDescent="0.3">
      <c r="A1337" s="7">
        <v>168</v>
      </c>
      <c r="B1337" s="7" t="s">
        <v>216</v>
      </c>
      <c r="C1337" s="7">
        <v>3</v>
      </c>
      <c r="D1337" s="10">
        <v>1000</v>
      </c>
      <c r="E1337" s="8">
        <v>-2.3620689654999998</v>
      </c>
    </row>
    <row r="1338" spans="1:5" x14ac:dyDescent="0.3">
      <c r="A1338" s="5">
        <v>169</v>
      </c>
      <c r="B1338" s="5" t="s">
        <v>217</v>
      </c>
      <c r="C1338" s="5">
        <v>-4</v>
      </c>
      <c r="D1338" s="9">
        <v>1E-4</v>
      </c>
      <c r="E1338" s="6">
        <v>0.60685025179999996</v>
      </c>
    </row>
    <row r="1339" spans="1:5" x14ac:dyDescent="0.3">
      <c r="A1339" s="7">
        <v>169</v>
      </c>
      <c r="B1339" s="7" t="s">
        <v>217</v>
      </c>
      <c r="C1339" s="7">
        <v>-3</v>
      </c>
      <c r="D1339" s="10">
        <v>1E-3</v>
      </c>
      <c r="E1339" s="8">
        <v>0.41132265099999998</v>
      </c>
    </row>
    <row r="1340" spans="1:5" x14ac:dyDescent="0.3">
      <c r="A1340" s="5">
        <v>169</v>
      </c>
      <c r="B1340" s="5" t="s">
        <v>217</v>
      </c>
      <c r="C1340" s="5">
        <v>-2</v>
      </c>
      <c r="D1340" s="9">
        <v>0.01</v>
      </c>
      <c r="E1340" s="6">
        <v>-0.84397451379999999</v>
      </c>
    </row>
    <row r="1341" spans="1:5" x14ac:dyDescent="0.3">
      <c r="A1341" s="7">
        <v>169</v>
      </c>
      <c r="B1341" s="7" t="s">
        <v>217</v>
      </c>
      <c r="C1341" s="7">
        <v>-1</v>
      </c>
      <c r="D1341" s="10">
        <v>0.1</v>
      </c>
      <c r="E1341" s="8">
        <v>-1.0695703521</v>
      </c>
    </row>
    <row r="1342" spans="1:5" x14ac:dyDescent="0.3">
      <c r="A1342" s="5">
        <v>169</v>
      </c>
      <c r="B1342" s="5" t="s">
        <v>217</v>
      </c>
      <c r="C1342" s="5">
        <v>0</v>
      </c>
      <c r="D1342" s="9">
        <v>1</v>
      </c>
      <c r="E1342" s="6">
        <v>-1.0973157769999999</v>
      </c>
    </row>
    <row r="1343" spans="1:5" x14ac:dyDescent="0.3">
      <c r="A1343" s="7">
        <v>169</v>
      </c>
      <c r="B1343" s="7" t="s">
        <v>217</v>
      </c>
      <c r="C1343" s="7">
        <v>1</v>
      </c>
      <c r="D1343" s="10">
        <v>10</v>
      </c>
      <c r="E1343" s="8">
        <v>-1.110676843</v>
      </c>
    </row>
    <row r="1344" spans="1:5" x14ac:dyDescent="0.3">
      <c r="A1344" s="5">
        <v>169</v>
      </c>
      <c r="B1344" s="5" t="s">
        <v>217</v>
      </c>
      <c r="C1344" s="5">
        <v>2</v>
      </c>
      <c r="D1344" s="9">
        <v>100</v>
      </c>
      <c r="E1344" s="6">
        <v>-1.1040236033999999</v>
      </c>
    </row>
    <row r="1345" spans="1:5" x14ac:dyDescent="0.3">
      <c r="A1345" s="7">
        <v>169</v>
      </c>
      <c r="B1345" s="7" t="s">
        <v>217</v>
      </c>
      <c r="C1345" s="7">
        <v>3</v>
      </c>
      <c r="D1345" s="10">
        <v>1000</v>
      </c>
      <c r="E1345" s="8">
        <v>-1.10698531</v>
      </c>
    </row>
    <row r="1346" spans="1:5" x14ac:dyDescent="0.3">
      <c r="A1346" s="5">
        <v>170</v>
      </c>
      <c r="B1346" s="5" t="s">
        <v>218</v>
      </c>
      <c r="C1346" s="5">
        <v>-4</v>
      </c>
      <c r="D1346" s="9">
        <v>1E-4</v>
      </c>
      <c r="E1346" s="6">
        <v>0.4142025755</v>
      </c>
    </row>
    <row r="1347" spans="1:5" x14ac:dyDescent="0.3">
      <c r="A1347" s="7">
        <v>170</v>
      </c>
      <c r="B1347" s="7" t="s">
        <v>218</v>
      </c>
      <c r="C1347" s="7">
        <v>-3</v>
      </c>
      <c r="D1347" s="10">
        <v>1E-3</v>
      </c>
      <c r="E1347" s="8">
        <v>0.59853721650000002</v>
      </c>
    </row>
    <row r="1348" spans="1:5" x14ac:dyDescent="0.3">
      <c r="A1348" s="5">
        <v>170</v>
      </c>
      <c r="B1348" s="5" t="s">
        <v>218</v>
      </c>
      <c r="C1348" s="5">
        <v>-2</v>
      </c>
      <c r="D1348" s="9">
        <v>0.01</v>
      </c>
      <c r="E1348" s="6">
        <v>0.90272806240000003</v>
      </c>
    </row>
    <row r="1349" spans="1:5" x14ac:dyDescent="0.3">
      <c r="A1349" s="7">
        <v>170</v>
      </c>
      <c r="B1349" s="7" t="s">
        <v>218</v>
      </c>
      <c r="C1349" s="7">
        <v>-1</v>
      </c>
      <c r="D1349" s="10">
        <v>0.1</v>
      </c>
      <c r="E1349" s="8">
        <v>0.76293349720000003</v>
      </c>
    </row>
    <row r="1350" spans="1:5" x14ac:dyDescent="0.3">
      <c r="A1350" s="5">
        <v>170</v>
      </c>
      <c r="B1350" s="5" t="s">
        <v>218</v>
      </c>
      <c r="C1350" s="5">
        <v>0</v>
      </c>
      <c r="D1350" s="9">
        <v>1</v>
      </c>
      <c r="E1350" s="6">
        <v>0.62585301900000001</v>
      </c>
    </row>
    <row r="1351" spans="1:5" x14ac:dyDescent="0.3">
      <c r="A1351" s="7">
        <v>170</v>
      </c>
      <c r="B1351" s="7" t="s">
        <v>218</v>
      </c>
      <c r="C1351" s="7">
        <v>1</v>
      </c>
      <c r="D1351" s="10">
        <v>10</v>
      </c>
      <c r="E1351" s="8">
        <v>0.61619836670000006</v>
      </c>
    </row>
    <row r="1352" spans="1:5" x14ac:dyDescent="0.3">
      <c r="A1352" s="5">
        <v>170</v>
      </c>
      <c r="B1352" s="5" t="s">
        <v>218</v>
      </c>
      <c r="C1352" s="5">
        <v>2</v>
      </c>
      <c r="D1352" s="9">
        <v>100</v>
      </c>
      <c r="E1352" s="6">
        <v>0.61582046779999999</v>
      </c>
    </row>
    <row r="1353" spans="1:5" x14ac:dyDescent="0.3">
      <c r="A1353" s="7">
        <v>170</v>
      </c>
      <c r="B1353" s="7" t="s">
        <v>218</v>
      </c>
      <c r="C1353" s="7">
        <v>3</v>
      </c>
      <c r="D1353" s="10">
        <v>1000</v>
      </c>
      <c r="E1353" s="8">
        <v>0.61616080849999999</v>
      </c>
    </row>
    <row r="1354" spans="1:5" x14ac:dyDescent="0.3">
      <c r="A1354" s="5">
        <v>171</v>
      </c>
      <c r="B1354" s="5" t="s">
        <v>219</v>
      </c>
      <c r="C1354" s="5">
        <v>-4</v>
      </c>
      <c r="D1354" s="9">
        <v>1E-4</v>
      </c>
      <c r="E1354" s="6">
        <v>0.39781064799999999</v>
      </c>
    </row>
    <row r="1355" spans="1:5" x14ac:dyDescent="0.3">
      <c r="A1355" s="7">
        <v>171</v>
      </c>
      <c r="B1355" s="7" t="s">
        <v>219</v>
      </c>
      <c r="C1355" s="7">
        <v>-3</v>
      </c>
      <c r="D1355" s="10">
        <v>1E-3</v>
      </c>
      <c r="E1355" s="8">
        <v>0.66777187500000001</v>
      </c>
    </row>
    <row r="1356" spans="1:5" x14ac:dyDescent="0.3">
      <c r="A1356" s="5">
        <v>171</v>
      </c>
      <c r="B1356" s="5" t="s">
        <v>219</v>
      </c>
      <c r="C1356" s="5">
        <v>-2</v>
      </c>
      <c r="D1356" s="9">
        <v>0.01</v>
      </c>
      <c r="E1356" s="6">
        <v>0.75666852549999997</v>
      </c>
    </row>
    <row r="1357" spans="1:5" x14ac:dyDescent="0.3">
      <c r="A1357" s="7">
        <v>171</v>
      </c>
      <c r="B1357" s="7" t="s">
        <v>219</v>
      </c>
      <c r="C1357" s="7">
        <v>-1</v>
      </c>
      <c r="D1357" s="10">
        <v>0.1</v>
      </c>
      <c r="E1357" s="8">
        <v>3.5585528499999998E-2</v>
      </c>
    </row>
    <row r="1358" spans="1:5" x14ac:dyDescent="0.3">
      <c r="A1358" s="5">
        <v>171</v>
      </c>
      <c r="B1358" s="5" t="s">
        <v>219</v>
      </c>
      <c r="C1358" s="5">
        <v>0</v>
      </c>
      <c r="D1358" s="9">
        <v>1</v>
      </c>
      <c r="E1358" s="6">
        <v>-0.50286178829999995</v>
      </c>
    </row>
    <row r="1359" spans="1:5" x14ac:dyDescent="0.3">
      <c r="A1359" s="7">
        <v>171</v>
      </c>
      <c r="B1359" s="7" t="s">
        <v>219</v>
      </c>
      <c r="C1359" s="7">
        <v>1</v>
      </c>
      <c r="D1359" s="10">
        <v>10</v>
      </c>
      <c r="E1359" s="8">
        <v>-0.52696989530000005</v>
      </c>
    </row>
    <row r="1360" spans="1:5" x14ac:dyDescent="0.3">
      <c r="A1360" s="5">
        <v>171</v>
      </c>
      <c r="B1360" s="5" t="s">
        <v>219</v>
      </c>
      <c r="C1360" s="5">
        <v>2</v>
      </c>
      <c r="D1360" s="9">
        <v>100</v>
      </c>
      <c r="E1360" s="6">
        <v>-0.53775993950000001</v>
      </c>
    </row>
    <row r="1361" spans="1:5" x14ac:dyDescent="0.3">
      <c r="A1361" s="7">
        <v>171</v>
      </c>
      <c r="B1361" s="7" t="s">
        <v>219</v>
      </c>
      <c r="C1361" s="7">
        <v>3</v>
      </c>
      <c r="D1361" s="10">
        <v>1000</v>
      </c>
      <c r="E1361" s="8">
        <v>-0.53045218419999995</v>
      </c>
    </row>
    <row r="1362" spans="1:5" x14ac:dyDescent="0.3">
      <c r="A1362" s="5">
        <v>172</v>
      </c>
      <c r="B1362" s="5" t="s">
        <v>220</v>
      </c>
      <c r="C1362" s="5">
        <v>-4</v>
      </c>
      <c r="D1362" s="9">
        <v>1E-4</v>
      </c>
      <c r="E1362" s="6">
        <v>0.41190512839999999</v>
      </c>
    </row>
    <row r="1363" spans="1:5" x14ac:dyDescent="0.3">
      <c r="A1363" s="7">
        <v>172</v>
      </c>
      <c r="B1363" s="7" t="s">
        <v>220</v>
      </c>
      <c r="C1363" s="7">
        <v>-3</v>
      </c>
      <c r="D1363" s="10">
        <v>1E-3</v>
      </c>
      <c r="E1363" s="8">
        <v>0.71356916770000001</v>
      </c>
    </row>
    <row r="1364" spans="1:5" x14ac:dyDescent="0.3">
      <c r="A1364" s="5">
        <v>172</v>
      </c>
      <c r="B1364" s="5" t="s">
        <v>220</v>
      </c>
      <c r="C1364" s="5">
        <v>-2</v>
      </c>
      <c r="D1364" s="9">
        <v>0.01</v>
      </c>
      <c r="E1364" s="6">
        <v>0.6476057046</v>
      </c>
    </row>
    <row r="1365" spans="1:5" x14ac:dyDescent="0.3">
      <c r="A1365" s="7">
        <v>172</v>
      </c>
      <c r="B1365" s="7" t="s">
        <v>220</v>
      </c>
      <c r="C1365" s="7">
        <v>-1</v>
      </c>
      <c r="D1365" s="10">
        <v>0.1</v>
      </c>
      <c r="E1365" s="8">
        <v>0.41741750430000002</v>
      </c>
    </row>
    <row r="1366" spans="1:5" x14ac:dyDescent="0.3">
      <c r="A1366" s="5">
        <v>172</v>
      </c>
      <c r="B1366" s="5" t="s">
        <v>220</v>
      </c>
      <c r="C1366" s="5">
        <v>0</v>
      </c>
      <c r="D1366" s="9">
        <v>1</v>
      </c>
      <c r="E1366" s="6">
        <v>0.3359366801</v>
      </c>
    </row>
    <row r="1367" spans="1:5" x14ac:dyDescent="0.3">
      <c r="A1367" s="7">
        <v>172</v>
      </c>
      <c r="B1367" s="7" t="s">
        <v>220</v>
      </c>
      <c r="C1367" s="7">
        <v>1</v>
      </c>
      <c r="D1367" s="10">
        <v>10</v>
      </c>
      <c r="E1367" s="8">
        <v>0.3255783679</v>
      </c>
    </row>
    <row r="1368" spans="1:5" x14ac:dyDescent="0.3">
      <c r="A1368" s="5">
        <v>172</v>
      </c>
      <c r="B1368" s="5" t="s">
        <v>220</v>
      </c>
      <c r="C1368" s="5">
        <v>2</v>
      </c>
      <c r="D1368" s="9">
        <v>100</v>
      </c>
      <c r="E1368" s="6">
        <v>0.32758420020000001</v>
      </c>
    </row>
    <row r="1369" spans="1:5" x14ac:dyDescent="0.3">
      <c r="A1369" s="7">
        <v>172</v>
      </c>
      <c r="B1369" s="7" t="s">
        <v>220</v>
      </c>
      <c r="C1369" s="7">
        <v>3</v>
      </c>
      <c r="D1369" s="10">
        <v>1000</v>
      </c>
      <c r="E1369" s="8">
        <v>0.32711057630000001</v>
      </c>
    </row>
    <row r="1370" spans="1:5" x14ac:dyDescent="0.3">
      <c r="A1370" s="5">
        <v>173</v>
      </c>
      <c r="B1370" s="5" t="s">
        <v>221</v>
      </c>
      <c r="C1370" s="5">
        <v>-4</v>
      </c>
      <c r="D1370" s="9">
        <v>1E-4</v>
      </c>
      <c r="E1370" s="6">
        <v>0.28828249659999999</v>
      </c>
    </row>
    <row r="1371" spans="1:5" x14ac:dyDescent="0.3">
      <c r="A1371" s="7">
        <v>173</v>
      </c>
      <c r="B1371" s="7" t="s">
        <v>221</v>
      </c>
      <c r="C1371" s="7">
        <v>-3</v>
      </c>
      <c r="D1371" s="10">
        <v>1E-3</v>
      </c>
      <c r="E1371" s="8">
        <v>0.50289836850000003</v>
      </c>
    </row>
    <row r="1372" spans="1:5" x14ac:dyDescent="0.3">
      <c r="A1372" s="5">
        <v>173</v>
      </c>
      <c r="B1372" s="5" t="s">
        <v>221</v>
      </c>
      <c r="C1372" s="5">
        <v>-2</v>
      </c>
      <c r="D1372" s="9">
        <v>0.01</v>
      </c>
      <c r="E1372" s="6">
        <v>0.50153496580000001</v>
      </c>
    </row>
    <row r="1373" spans="1:5" x14ac:dyDescent="0.3">
      <c r="A1373" s="7">
        <v>173</v>
      </c>
      <c r="B1373" s="7" t="s">
        <v>221</v>
      </c>
      <c r="C1373" s="7">
        <v>-1</v>
      </c>
      <c r="D1373" s="10">
        <v>0.1</v>
      </c>
      <c r="E1373" s="8">
        <v>-0.45169556910000003</v>
      </c>
    </row>
    <row r="1374" spans="1:5" x14ac:dyDescent="0.3">
      <c r="A1374" s="5">
        <v>173</v>
      </c>
      <c r="B1374" s="5" t="s">
        <v>221</v>
      </c>
      <c r="C1374" s="5">
        <v>0</v>
      </c>
      <c r="D1374" s="9">
        <v>1</v>
      </c>
      <c r="E1374" s="6">
        <v>-0.90375156010000002</v>
      </c>
    </row>
    <row r="1375" spans="1:5" x14ac:dyDescent="0.3">
      <c r="A1375" s="7">
        <v>173</v>
      </c>
      <c r="B1375" s="7" t="s">
        <v>221</v>
      </c>
      <c r="C1375" s="7">
        <v>1</v>
      </c>
      <c r="D1375" s="10">
        <v>10</v>
      </c>
      <c r="E1375" s="8">
        <v>-0.91357652499999997</v>
      </c>
    </row>
    <row r="1376" spans="1:5" x14ac:dyDescent="0.3">
      <c r="A1376" s="5">
        <v>173</v>
      </c>
      <c r="B1376" s="5" t="s">
        <v>221</v>
      </c>
      <c r="C1376" s="5">
        <v>2</v>
      </c>
      <c r="D1376" s="9">
        <v>100</v>
      </c>
      <c r="E1376" s="6">
        <v>-0.96310889249999998</v>
      </c>
    </row>
    <row r="1377" spans="1:5" x14ac:dyDescent="0.3">
      <c r="A1377" s="7">
        <v>173</v>
      </c>
      <c r="B1377" s="7" t="s">
        <v>221</v>
      </c>
      <c r="C1377" s="7">
        <v>3</v>
      </c>
      <c r="D1377" s="10">
        <v>1000</v>
      </c>
      <c r="E1377" s="8">
        <v>-0.94305848010000004</v>
      </c>
    </row>
    <row r="1378" spans="1:5" x14ac:dyDescent="0.3">
      <c r="A1378" s="5">
        <v>174</v>
      </c>
      <c r="B1378" s="5" t="s">
        <v>222</v>
      </c>
      <c r="C1378" s="5">
        <v>-4</v>
      </c>
      <c r="D1378" s="9">
        <v>1E-4</v>
      </c>
      <c r="E1378" s="6">
        <v>0.38815158830000002</v>
      </c>
    </row>
    <row r="1379" spans="1:5" x14ac:dyDescent="0.3">
      <c r="A1379" s="7">
        <v>174</v>
      </c>
      <c r="B1379" s="7" t="s">
        <v>222</v>
      </c>
      <c r="C1379" s="7">
        <v>-3</v>
      </c>
      <c r="D1379" s="10">
        <v>1E-3</v>
      </c>
      <c r="E1379" s="8">
        <v>0.6406982511</v>
      </c>
    </row>
    <row r="1380" spans="1:5" x14ac:dyDescent="0.3">
      <c r="A1380" s="5">
        <v>174</v>
      </c>
      <c r="B1380" s="5" t="s">
        <v>222</v>
      </c>
      <c r="C1380" s="5">
        <v>-2</v>
      </c>
      <c r="D1380" s="9">
        <v>0.01</v>
      </c>
      <c r="E1380" s="6">
        <v>0.84752337519999998</v>
      </c>
    </row>
    <row r="1381" spans="1:5" x14ac:dyDescent="0.3">
      <c r="A1381" s="7">
        <v>174</v>
      </c>
      <c r="B1381" s="7" t="s">
        <v>222</v>
      </c>
      <c r="C1381" s="7">
        <v>-1</v>
      </c>
      <c r="D1381" s="10">
        <v>0.1</v>
      </c>
      <c r="E1381" s="8">
        <v>0.43659236890000003</v>
      </c>
    </row>
    <row r="1382" spans="1:5" x14ac:dyDescent="0.3">
      <c r="A1382" s="5">
        <v>174</v>
      </c>
      <c r="B1382" s="5" t="s">
        <v>222</v>
      </c>
      <c r="C1382" s="5">
        <v>0</v>
      </c>
      <c r="D1382" s="9">
        <v>1</v>
      </c>
      <c r="E1382" s="6">
        <v>0.24033908609999999</v>
      </c>
    </row>
    <row r="1383" spans="1:5" x14ac:dyDescent="0.3">
      <c r="A1383" s="7">
        <v>174</v>
      </c>
      <c r="B1383" s="7" t="s">
        <v>222</v>
      </c>
      <c r="C1383" s="7">
        <v>1</v>
      </c>
      <c r="D1383" s="10">
        <v>10</v>
      </c>
      <c r="E1383" s="8">
        <v>0.2272418024</v>
      </c>
    </row>
    <row r="1384" spans="1:5" x14ac:dyDescent="0.3">
      <c r="A1384" s="5">
        <v>174</v>
      </c>
      <c r="B1384" s="5" t="s">
        <v>222</v>
      </c>
      <c r="C1384" s="5">
        <v>2</v>
      </c>
      <c r="D1384" s="9">
        <v>100</v>
      </c>
      <c r="E1384" s="6">
        <v>0.23703046450000001</v>
      </c>
    </row>
    <row r="1385" spans="1:5" x14ac:dyDescent="0.3">
      <c r="A1385" s="7">
        <v>174</v>
      </c>
      <c r="B1385" s="7" t="s">
        <v>222</v>
      </c>
      <c r="C1385" s="7">
        <v>3</v>
      </c>
      <c r="D1385" s="10">
        <v>1000</v>
      </c>
      <c r="E1385" s="8">
        <v>0.2323790801</v>
      </c>
    </row>
    <row r="1386" spans="1:5" x14ac:dyDescent="0.3">
      <c r="A1386" s="5">
        <v>175</v>
      </c>
      <c r="B1386" s="5" t="s">
        <v>223</v>
      </c>
      <c r="C1386" s="5">
        <v>-4</v>
      </c>
      <c r="D1386" s="9">
        <v>1E-4</v>
      </c>
      <c r="E1386" s="6">
        <v>0.78269852829999997</v>
      </c>
    </row>
    <row r="1387" spans="1:5" x14ac:dyDescent="0.3">
      <c r="A1387" s="7">
        <v>175</v>
      </c>
      <c r="B1387" s="7" t="s">
        <v>223</v>
      </c>
      <c r="C1387" s="7">
        <v>-3</v>
      </c>
      <c r="D1387" s="10">
        <v>1E-3</v>
      </c>
      <c r="E1387" s="8">
        <v>0.72910086060000001</v>
      </c>
    </row>
    <row r="1388" spans="1:5" x14ac:dyDescent="0.3">
      <c r="A1388" s="5">
        <v>175</v>
      </c>
      <c r="B1388" s="5" t="s">
        <v>223</v>
      </c>
      <c r="C1388" s="5">
        <v>-2</v>
      </c>
      <c r="D1388" s="9">
        <v>0.01</v>
      </c>
      <c r="E1388" s="6">
        <v>-0.85811244959999999</v>
      </c>
    </row>
    <row r="1389" spans="1:5" x14ac:dyDescent="0.3">
      <c r="A1389" s="7">
        <v>175</v>
      </c>
      <c r="B1389" s="7" t="s">
        <v>223</v>
      </c>
      <c r="C1389" s="7">
        <v>-1</v>
      </c>
      <c r="D1389" s="10">
        <v>0.1</v>
      </c>
      <c r="E1389" s="8">
        <v>-2.0633909679000002</v>
      </c>
    </row>
    <row r="1390" spans="1:5" x14ac:dyDescent="0.3">
      <c r="A1390" s="5">
        <v>175</v>
      </c>
      <c r="B1390" s="5" t="s">
        <v>223</v>
      </c>
      <c r="C1390" s="5">
        <v>0</v>
      </c>
      <c r="D1390" s="9">
        <v>1</v>
      </c>
      <c r="E1390" s="6">
        <v>-2.3778388897</v>
      </c>
    </row>
    <row r="1391" spans="1:5" x14ac:dyDescent="0.3">
      <c r="A1391" s="7">
        <v>175</v>
      </c>
      <c r="B1391" s="7" t="s">
        <v>223</v>
      </c>
      <c r="C1391" s="7">
        <v>1</v>
      </c>
      <c r="D1391" s="10">
        <v>10</v>
      </c>
      <c r="E1391" s="8">
        <v>-2.3825159350999998</v>
      </c>
    </row>
    <row r="1392" spans="1:5" x14ac:dyDescent="0.3">
      <c r="A1392" s="5">
        <v>175</v>
      </c>
      <c r="B1392" s="5" t="s">
        <v>223</v>
      </c>
      <c r="C1392" s="5">
        <v>2</v>
      </c>
      <c r="D1392" s="9">
        <v>100</v>
      </c>
      <c r="E1392" s="6">
        <v>-2.3916162412999999</v>
      </c>
    </row>
    <row r="1393" spans="1:5" x14ac:dyDescent="0.3">
      <c r="A1393" s="7">
        <v>175</v>
      </c>
      <c r="B1393" s="7" t="s">
        <v>223</v>
      </c>
      <c r="C1393" s="7">
        <v>3</v>
      </c>
      <c r="D1393" s="10">
        <v>1000</v>
      </c>
      <c r="E1393" s="8">
        <v>-2.3973540906999999</v>
      </c>
    </row>
    <row r="1394" spans="1:5" x14ac:dyDescent="0.3">
      <c r="A1394" s="5">
        <v>176</v>
      </c>
      <c r="B1394" s="5" t="s">
        <v>224</v>
      </c>
      <c r="C1394" s="5">
        <v>-4</v>
      </c>
      <c r="D1394" s="9">
        <v>1E-4</v>
      </c>
      <c r="E1394" s="6">
        <v>0.50618427099999996</v>
      </c>
    </row>
    <row r="1395" spans="1:5" x14ac:dyDescent="0.3">
      <c r="A1395" s="7">
        <v>176</v>
      </c>
      <c r="B1395" s="7" t="s">
        <v>224</v>
      </c>
      <c r="C1395" s="7">
        <v>-3</v>
      </c>
      <c r="D1395" s="10">
        <v>1E-3</v>
      </c>
      <c r="E1395" s="8">
        <v>0.50815618220000003</v>
      </c>
    </row>
    <row r="1396" spans="1:5" x14ac:dyDescent="0.3">
      <c r="A1396" s="5">
        <v>176</v>
      </c>
      <c r="B1396" s="5" t="s">
        <v>224</v>
      </c>
      <c r="C1396" s="5">
        <v>-2</v>
      </c>
      <c r="D1396" s="9">
        <v>0.01</v>
      </c>
      <c r="E1396" s="6">
        <v>-0.88178445920000004</v>
      </c>
    </row>
    <row r="1397" spans="1:5" x14ac:dyDescent="0.3">
      <c r="A1397" s="7">
        <v>176</v>
      </c>
      <c r="B1397" s="7" t="s">
        <v>224</v>
      </c>
      <c r="C1397" s="7">
        <v>-1</v>
      </c>
      <c r="D1397" s="10">
        <v>0.1</v>
      </c>
      <c r="E1397" s="8">
        <v>-1.5615360471999999</v>
      </c>
    </row>
    <row r="1398" spans="1:5" x14ac:dyDescent="0.3">
      <c r="A1398" s="5">
        <v>176</v>
      </c>
      <c r="B1398" s="5" t="s">
        <v>224</v>
      </c>
      <c r="C1398" s="5">
        <v>0</v>
      </c>
      <c r="D1398" s="9">
        <v>1</v>
      </c>
      <c r="E1398" s="6">
        <v>-1.7176247434</v>
      </c>
    </row>
    <row r="1399" spans="1:5" x14ac:dyDescent="0.3">
      <c r="A1399" s="7">
        <v>176</v>
      </c>
      <c r="B1399" s="7" t="s">
        <v>224</v>
      </c>
      <c r="C1399" s="7">
        <v>1</v>
      </c>
      <c r="D1399" s="10">
        <v>10</v>
      </c>
      <c r="E1399" s="8">
        <v>-1.7370335722000001</v>
      </c>
    </row>
    <row r="1400" spans="1:5" x14ac:dyDescent="0.3">
      <c r="A1400" s="5">
        <v>176</v>
      </c>
      <c r="B1400" s="5" t="s">
        <v>224</v>
      </c>
      <c r="C1400" s="5">
        <v>2</v>
      </c>
      <c r="D1400" s="9">
        <v>100</v>
      </c>
      <c r="E1400" s="6">
        <v>-1.7381230142999999</v>
      </c>
    </row>
    <row r="1401" spans="1:5" x14ac:dyDescent="0.3">
      <c r="A1401" s="7">
        <v>176</v>
      </c>
      <c r="B1401" s="7" t="s">
        <v>224</v>
      </c>
      <c r="C1401" s="7">
        <v>3</v>
      </c>
      <c r="D1401" s="10">
        <v>1000</v>
      </c>
      <c r="E1401" s="8">
        <v>-1.7322713380999999</v>
      </c>
    </row>
    <row r="1402" spans="1:5" x14ac:dyDescent="0.3">
      <c r="A1402" s="5">
        <v>177</v>
      </c>
      <c r="B1402" s="5" t="s">
        <v>225</v>
      </c>
      <c r="C1402" s="5">
        <v>-4</v>
      </c>
      <c r="D1402" s="9">
        <v>1E-4</v>
      </c>
      <c r="E1402" s="6">
        <v>0.29008564549999999</v>
      </c>
    </row>
    <row r="1403" spans="1:5" x14ac:dyDescent="0.3">
      <c r="A1403" s="7">
        <v>177</v>
      </c>
      <c r="B1403" s="7" t="s">
        <v>225</v>
      </c>
      <c r="C1403" s="7">
        <v>-3</v>
      </c>
      <c r="D1403" s="10">
        <v>1E-3</v>
      </c>
      <c r="E1403" s="8">
        <v>0.48063634129999999</v>
      </c>
    </row>
    <row r="1404" spans="1:5" x14ac:dyDescent="0.3">
      <c r="A1404" s="5">
        <v>177</v>
      </c>
      <c r="B1404" s="5" t="s">
        <v>225</v>
      </c>
      <c r="C1404" s="5">
        <v>-2</v>
      </c>
      <c r="D1404" s="9">
        <v>0.01</v>
      </c>
      <c r="E1404" s="6">
        <v>0.85552060299999999</v>
      </c>
    </row>
    <row r="1405" spans="1:5" x14ac:dyDescent="0.3">
      <c r="A1405" s="7">
        <v>177</v>
      </c>
      <c r="B1405" s="7" t="s">
        <v>225</v>
      </c>
      <c r="C1405" s="7">
        <v>-1</v>
      </c>
      <c r="D1405" s="10">
        <v>0.1</v>
      </c>
      <c r="E1405" s="8">
        <v>0.83607711399999995</v>
      </c>
    </row>
    <row r="1406" spans="1:5" x14ac:dyDescent="0.3">
      <c r="A1406" s="5">
        <v>177</v>
      </c>
      <c r="B1406" s="5" t="s">
        <v>225</v>
      </c>
      <c r="C1406" s="5">
        <v>0</v>
      </c>
      <c r="D1406" s="9">
        <v>1</v>
      </c>
      <c r="E1406" s="6">
        <v>0.55543784070000002</v>
      </c>
    </row>
    <row r="1407" spans="1:5" x14ac:dyDescent="0.3">
      <c r="A1407" s="7">
        <v>177</v>
      </c>
      <c r="B1407" s="7" t="s">
        <v>225</v>
      </c>
      <c r="C1407" s="7">
        <v>1</v>
      </c>
      <c r="D1407" s="10">
        <v>10</v>
      </c>
      <c r="E1407" s="8">
        <v>0.53872886600000003</v>
      </c>
    </row>
    <row r="1408" spans="1:5" x14ac:dyDescent="0.3">
      <c r="A1408" s="5">
        <v>177</v>
      </c>
      <c r="B1408" s="5" t="s">
        <v>225</v>
      </c>
      <c r="C1408" s="5">
        <v>2</v>
      </c>
      <c r="D1408" s="9">
        <v>100</v>
      </c>
      <c r="E1408" s="6">
        <v>0.53259221570000004</v>
      </c>
    </row>
    <row r="1409" spans="1:5" x14ac:dyDescent="0.3">
      <c r="A1409" s="7">
        <v>177</v>
      </c>
      <c r="B1409" s="7" t="s">
        <v>225</v>
      </c>
      <c r="C1409" s="7">
        <v>3</v>
      </c>
      <c r="D1409" s="10">
        <v>1000</v>
      </c>
      <c r="E1409" s="8">
        <v>0.53098691659999997</v>
      </c>
    </row>
    <row r="1410" spans="1:5" x14ac:dyDescent="0.3">
      <c r="A1410" s="5">
        <v>178</v>
      </c>
      <c r="B1410" s="5" t="s">
        <v>226</v>
      </c>
      <c r="C1410" s="5">
        <v>-4</v>
      </c>
      <c r="D1410" s="9">
        <v>1E-4</v>
      </c>
      <c r="E1410" s="6">
        <v>0.44099474630000002</v>
      </c>
    </row>
    <row r="1411" spans="1:5" x14ac:dyDescent="0.3">
      <c r="A1411" s="7">
        <v>178</v>
      </c>
      <c r="B1411" s="7" t="s">
        <v>226</v>
      </c>
      <c r="C1411" s="7">
        <v>-3</v>
      </c>
      <c r="D1411" s="10">
        <v>1E-3</v>
      </c>
      <c r="E1411" s="8">
        <v>0.80910999279999996</v>
      </c>
    </row>
    <row r="1412" spans="1:5" x14ac:dyDescent="0.3">
      <c r="A1412" s="5">
        <v>178</v>
      </c>
      <c r="B1412" s="5" t="s">
        <v>226</v>
      </c>
      <c r="C1412" s="5">
        <v>-2</v>
      </c>
      <c r="D1412" s="9">
        <v>0.01</v>
      </c>
      <c r="E1412" s="6">
        <v>0.73920893480000005</v>
      </c>
    </row>
    <row r="1413" spans="1:5" x14ac:dyDescent="0.3">
      <c r="A1413" s="7">
        <v>178</v>
      </c>
      <c r="B1413" s="7" t="s">
        <v>226</v>
      </c>
      <c r="C1413" s="7">
        <v>-1</v>
      </c>
      <c r="D1413" s="10">
        <v>0.1</v>
      </c>
      <c r="E1413" s="8">
        <v>0.2387412729</v>
      </c>
    </row>
    <row r="1414" spans="1:5" x14ac:dyDescent="0.3">
      <c r="A1414" s="5">
        <v>178</v>
      </c>
      <c r="B1414" s="5" t="s">
        <v>226</v>
      </c>
      <c r="C1414" s="5">
        <v>0</v>
      </c>
      <c r="D1414" s="9">
        <v>1</v>
      </c>
      <c r="E1414" s="6">
        <v>3.1327251700000003E-2</v>
      </c>
    </row>
    <row r="1415" spans="1:5" x14ac:dyDescent="0.3">
      <c r="A1415" s="7">
        <v>178</v>
      </c>
      <c r="B1415" s="7" t="s">
        <v>226</v>
      </c>
      <c r="C1415" s="7">
        <v>1</v>
      </c>
      <c r="D1415" s="10">
        <v>10</v>
      </c>
      <c r="E1415" s="8">
        <v>1.38225304E-2</v>
      </c>
    </row>
    <row r="1416" spans="1:5" x14ac:dyDescent="0.3">
      <c r="A1416" s="5">
        <v>178</v>
      </c>
      <c r="B1416" s="5" t="s">
        <v>226</v>
      </c>
      <c r="C1416" s="5">
        <v>2</v>
      </c>
      <c r="D1416" s="9">
        <v>100</v>
      </c>
      <c r="E1416" s="6">
        <v>2.04632563E-2</v>
      </c>
    </row>
    <row r="1417" spans="1:5" x14ac:dyDescent="0.3">
      <c r="A1417" s="7">
        <v>178</v>
      </c>
      <c r="B1417" s="7" t="s">
        <v>226</v>
      </c>
      <c r="C1417" s="7">
        <v>3</v>
      </c>
      <c r="D1417" s="10">
        <v>1000</v>
      </c>
      <c r="E1417" s="8">
        <v>1.48906505E-2</v>
      </c>
    </row>
    <row r="1418" spans="1:5" x14ac:dyDescent="0.3">
      <c r="A1418" s="5">
        <v>179</v>
      </c>
      <c r="B1418" s="5" t="s">
        <v>227</v>
      </c>
      <c r="C1418" s="5">
        <v>-4</v>
      </c>
      <c r="D1418" s="9">
        <v>1E-4</v>
      </c>
      <c r="E1418" s="6">
        <v>0.50064047560000002</v>
      </c>
    </row>
    <row r="1419" spans="1:5" x14ac:dyDescent="0.3">
      <c r="A1419" s="7">
        <v>179</v>
      </c>
      <c r="B1419" s="7" t="s">
        <v>227</v>
      </c>
      <c r="C1419" s="7">
        <v>-3</v>
      </c>
      <c r="D1419" s="10">
        <v>1E-3</v>
      </c>
      <c r="E1419" s="8">
        <v>0.67592902450000003</v>
      </c>
    </row>
    <row r="1420" spans="1:5" x14ac:dyDescent="0.3">
      <c r="A1420" s="5">
        <v>179</v>
      </c>
      <c r="B1420" s="5" t="s">
        <v>227</v>
      </c>
      <c r="C1420" s="5">
        <v>-2</v>
      </c>
      <c r="D1420" s="9">
        <v>0.01</v>
      </c>
      <c r="E1420" s="6">
        <v>0.46598957889999998</v>
      </c>
    </row>
    <row r="1421" spans="1:5" x14ac:dyDescent="0.3">
      <c r="A1421" s="7">
        <v>179</v>
      </c>
      <c r="B1421" s="7" t="s">
        <v>227</v>
      </c>
      <c r="C1421" s="7">
        <v>-1</v>
      </c>
      <c r="D1421" s="10">
        <v>0.1</v>
      </c>
      <c r="E1421" s="8">
        <v>-0.66654815420000002</v>
      </c>
    </row>
    <row r="1422" spans="1:5" x14ac:dyDescent="0.3">
      <c r="A1422" s="5">
        <v>179</v>
      </c>
      <c r="B1422" s="5" t="s">
        <v>227</v>
      </c>
      <c r="C1422" s="5">
        <v>0</v>
      </c>
      <c r="D1422" s="9">
        <v>1</v>
      </c>
      <c r="E1422" s="6">
        <v>-1.1637567089</v>
      </c>
    </row>
    <row r="1423" spans="1:5" x14ac:dyDescent="0.3">
      <c r="A1423" s="7">
        <v>179</v>
      </c>
      <c r="B1423" s="7" t="s">
        <v>227</v>
      </c>
      <c r="C1423" s="7">
        <v>1</v>
      </c>
      <c r="D1423" s="10">
        <v>10</v>
      </c>
      <c r="E1423" s="8">
        <v>-1.2257932162</v>
      </c>
    </row>
    <row r="1424" spans="1:5" x14ac:dyDescent="0.3">
      <c r="A1424" s="5">
        <v>179</v>
      </c>
      <c r="B1424" s="5" t="s">
        <v>227</v>
      </c>
      <c r="C1424" s="5">
        <v>2</v>
      </c>
      <c r="D1424" s="9">
        <v>100</v>
      </c>
      <c r="E1424" s="6">
        <v>-1.2407734640999999</v>
      </c>
    </row>
    <row r="1425" spans="1:5" x14ac:dyDescent="0.3">
      <c r="A1425" s="7">
        <v>179</v>
      </c>
      <c r="B1425" s="7" t="s">
        <v>227</v>
      </c>
      <c r="C1425" s="7">
        <v>3</v>
      </c>
      <c r="D1425" s="10">
        <v>1000</v>
      </c>
      <c r="E1425" s="8">
        <v>-1.2266993598</v>
      </c>
    </row>
    <row r="1426" spans="1:5" x14ac:dyDescent="0.3">
      <c r="A1426" s="5">
        <v>180</v>
      </c>
      <c r="B1426" s="5" t="s">
        <v>228</v>
      </c>
      <c r="C1426" s="5">
        <v>-4</v>
      </c>
      <c r="D1426" s="9">
        <v>1E-4</v>
      </c>
      <c r="E1426" s="6">
        <v>0.53211821780000002</v>
      </c>
    </row>
    <row r="1427" spans="1:5" x14ac:dyDescent="0.3">
      <c r="A1427" s="7">
        <v>180</v>
      </c>
      <c r="B1427" s="7" t="s">
        <v>228</v>
      </c>
      <c r="C1427" s="7">
        <v>-3</v>
      </c>
      <c r="D1427" s="10">
        <v>1E-3</v>
      </c>
      <c r="E1427" s="8">
        <v>0.68805988920000005</v>
      </c>
    </row>
    <row r="1428" spans="1:5" x14ac:dyDescent="0.3">
      <c r="A1428" s="5">
        <v>180</v>
      </c>
      <c r="B1428" s="5" t="s">
        <v>228</v>
      </c>
      <c r="C1428" s="5">
        <v>-2</v>
      </c>
      <c r="D1428" s="9">
        <v>0.01</v>
      </c>
      <c r="E1428" s="6">
        <v>-1.1265069810999999</v>
      </c>
    </row>
    <row r="1429" spans="1:5" x14ac:dyDescent="0.3">
      <c r="A1429" s="7">
        <v>180</v>
      </c>
      <c r="B1429" s="7" t="s">
        <v>228</v>
      </c>
      <c r="C1429" s="7">
        <v>-1</v>
      </c>
      <c r="D1429" s="10">
        <v>0.1</v>
      </c>
      <c r="E1429" s="8">
        <v>-2.5054860337</v>
      </c>
    </row>
    <row r="1430" spans="1:5" x14ac:dyDescent="0.3">
      <c r="A1430" s="5">
        <v>180</v>
      </c>
      <c r="B1430" s="5" t="s">
        <v>228</v>
      </c>
      <c r="C1430" s="5">
        <v>0</v>
      </c>
      <c r="D1430" s="9">
        <v>1</v>
      </c>
      <c r="E1430" s="6">
        <v>-2.7695019611</v>
      </c>
    </row>
    <row r="1431" spans="1:5" x14ac:dyDescent="0.3">
      <c r="A1431" s="7">
        <v>180</v>
      </c>
      <c r="B1431" s="7" t="s">
        <v>228</v>
      </c>
      <c r="C1431" s="7">
        <v>1</v>
      </c>
      <c r="D1431" s="10">
        <v>10</v>
      </c>
      <c r="E1431" s="8">
        <v>-2.7899864653000002</v>
      </c>
    </row>
    <row r="1432" spans="1:5" x14ac:dyDescent="0.3">
      <c r="A1432" s="5">
        <v>180</v>
      </c>
      <c r="B1432" s="5" t="s">
        <v>228</v>
      </c>
      <c r="C1432" s="5">
        <v>2</v>
      </c>
      <c r="D1432" s="9">
        <v>100</v>
      </c>
      <c r="E1432" s="6">
        <v>-2.798246566</v>
      </c>
    </row>
    <row r="1433" spans="1:5" x14ac:dyDescent="0.3">
      <c r="A1433" s="7">
        <v>180</v>
      </c>
      <c r="B1433" s="7" t="s">
        <v>228</v>
      </c>
      <c r="C1433" s="7">
        <v>3</v>
      </c>
      <c r="D1433" s="10">
        <v>1000</v>
      </c>
      <c r="E1433" s="8">
        <v>-2.7966819892000001</v>
      </c>
    </row>
    <row r="1434" spans="1:5" x14ac:dyDescent="0.3">
      <c r="A1434" s="5">
        <v>181</v>
      </c>
      <c r="B1434" s="5" t="s">
        <v>229</v>
      </c>
      <c r="C1434" s="5">
        <v>-4</v>
      </c>
      <c r="D1434" s="9">
        <v>1E-4</v>
      </c>
      <c r="E1434" s="6">
        <v>0.40109399779999999</v>
      </c>
    </row>
    <row r="1435" spans="1:5" x14ac:dyDescent="0.3">
      <c r="A1435" s="7">
        <v>181</v>
      </c>
      <c r="B1435" s="7" t="s">
        <v>229</v>
      </c>
      <c r="C1435" s="7">
        <v>-3</v>
      </c>
      <c r="D1435" s="10">
        <v>1E-3</v>
      </c>
      <c r="E1435" s="8">
        <v>0.65381325310000005</v>
      </c>
    </row>
    <row r="1436" spans="1:5" x14ac:dyDescent="0.3">
      <c r="A1436" s="5">
        <v>181</v>
      </c>
      <c r="B1436" s="5" t="s">
        <v>229</v>
      </c>
      <c r="C1436" s="5">
        <v>-2</v>
      </c>
      <c r="D1436" s="9">
        <v>0.01</v>
      </c>
      <c r="E1436" s="6">
        <v>0.40796215349999998</v>
      </c>
    </row>
    <row r="1437" spans="1:5" x14ac:dyDescent="0.3">
      <c r="A1437" s="7">
        <v>181</v>
      </c>
      <c r="B1437" s="7" t="s">
        <v>229</v>
      </c>
      <c r="C1437" s="7">
        <v>-1</v>
      </c>
      <c r="D1437" s="10">
        <v>0.1</v>
      </c>
      <c r="E1437" s="8">
        <v>-1.021414276</v>
      </c>
    </row>
    <row r="1438" spans="1:5" x14ac:dyDescent="0.3">
      <c r="A1438" s="5">
        <v>181</v>
      </c>
      <c r="B1438" s="5" t="s">
        <v>229</v>
      </c>
      <c r="C1438" s="5">
        <v>0</v>
      </c>
      <c r="D1438" s="9">
        <v>1</v>
      </c>
      <c r="E1438" s="6">
        <v>-1.3838975034000001</v>
      </c>
    </row>
    <row r="1439" spans="1:5" x14ac:dyDescent="0.3">
      <c r="A1439" s="7">
        <v>181</v>
      </c>
      <c r="B1439" s="7" t="s">
        <v>229</v>
      </c>
      <c r="C1439" s="7">
        <v>1</v>
      </c>
      <c r="D1439" s="10">
        <v>10</v>
      </c>
      <c r="E1439" s="8">
        <v>-1.4189612119999999</v>
      </c>
    </row>
    <row r="1440" spans="1:5" x14ac:dyDescent="0.3">
      <c r="A1440" s="5">
        <v>181</v>
      </c>
      <c r="B1440" s="5" t="s">
        <v>229</v>
      </c>
      <c r="C1440" s="5">
        <v>2</v>
      </c>
      <c r="D1440" s="9">
        <v>100</v>
      </c>
      <c r="E1440" s="6">
        <v>-1.4118654107999999</v>
      </c>
    </row>
    <row r="1441" spans="1:5" x14ac:dyDescent="0.3">
      <c r="A1441" s="7">
        <v>181</v>
      </c>
      <c r="B1441" s="7" t="s">
        <v>229</v>
      </c>
      <c r="C1441" s="7">
        <v>3</v>
      </c>
      <c r="D1441" s="10">
        <v>1000</v>
      </c>
      <c r="E1441" s="8">
        <v>-1.4023661597999999</v>
      </c>
    </row>
    <row r="1442" spans="1:5" x14ac:dyDescent="0.3">
      <c r="A1442" s="5">
        <v>182</v>
      </c>
      <c r="B1442" s="5" t="s">
        <v>230</v>
      </c>
      <c r="C1442" s="5">
        <v>-4</v>
      </c>
      <c r="D1442" s="9">
        <v>1E-4</v>
      </c>
      <c r="E1442" s="6">
        <v>0.21792727379999999</v>
      </c>
    </row>
    <row r="1443" spans="1:5" x14ac:dyDescent="0.3">
      <c r="A1443" s="7">
        <v>182</v>
      </c>
      <c r="B1443" s="7" t="s">
        <v>230</v>
      </c>
      <c r="C1443" s="7">
        <v>-3</v>
      </c>
      <c r="D1443" s="10">
        <v>1E-3</v>
      </c>
      <c r="E1443" s="8">
        <v>0.72833379409999999</v>
      </c>
    </row>
    <row r="1444" spans="1:5" x14ac:dyDescent="0.3">
      <c r="A1444" s="5">
        <v>182</v>
      </c>
      <c r="B1444" s="5" t="s">
        <v>230</v>
      </c>
      <c r="C1444" s="5">
        <v>-2</v>
      </c>
      <c r="D1444" s="9">
        <v>0.01</v>
      </c>
      <c r="E1444" s="6">
        <v>0.80890436170000002</v>
      </c>
    </row>
    <row r="1445" spans="1:5" x14ac:dyDescent="0.3">
      <c r="A1445" s="7">
        <v>182</v>
      </c>
      <c r="B1445" s="7" t="s">
        <v>230</v>
      </c>
      <c r="C1445" s="7">
        <v>-1</v>
      </c>
      <c r="D1445" s="10">
        <v>0.1</v>
      </c>
      <c r="E1445" s="8">
        <v>0.43075061310000001</v>
      </c>
    </row>
    <row r="1446" spans="1:5" x14ac:dyDescent="0.3">
      <c r="A1446" s="5">
        <v>182</v>
      </c>
      <c r="B1446" s="5" t="s">
        <v>230</v>
      </c>
      <c r="C1446" s="5">
        <v>0</v>
      </c>
      <c r="D1446" s="9">
        <v>1</v>
      </c>
      <c r="E1446" s="6">
        <v>0.30276541680000002</v>
      </c>
    </row>
    <row r="1447" spans="1:5" x14ac:dyDescent="0.3">
      <c r="A1447" s="7">
        <v>182</v>
      </c>
      <c r="B1447" s="7" t="s">
        <v>230</v>
      </c>
      <c r="C1447" s="7">
        <v>1</v>
      </c>
      <c r="D1447" s="10">
        <v>10</v>
      </c>
      <c r="E1447" s="8">
        <v>0.29413601589999999</v>
      </c>
    </row>
    <row r="1448" spans="1:5" x14ac:dyDescent="0.3">
      <c r="A1448" s="5">
        <v>182</v>
      </c>
      <c r="B1448" s="5" t="s">
        <v>230</v>
      </c>
      <c r="C1448" s="5">
        <v>2</v>
      </c>
      <c r="D1448" s="9">
        <v>100</v>
      </c>
      <c r="E1448" s="6">
        <v>0.29320681459999998</v>
      </c>
    </row>
    <row r="1449" spans="1:5" x14ac:dyDescent="0.3">
      <c r="A1449" s="7">
        <v>182</v>
      </c>
      <c r="B1449" s="7" t="s">
        <v>230</v>
      </c>
      <c r="C1449" s="7">
        <v>3</v>
      </c>
      <c r="D1449" s="10">
        <v>1000</v>
      </c>
      <c r="E1449" s="8">
        <v>0.29254670490000001</v>
      </c>
    </row>
    <row r="1450" spans="1:5" x14ac:dyDescent="0.3">
      <c r="A1450" s="5">
        <v>183</v>
      </c>
      <c r="B1450" s="5" t="s">
        <v>231</v>
      </c>
      <c r="C1450" s="5">
        <v>-4</v>
      </c>
      <c r="D1450" s="9">
        <v>1E-4</v>
      </c>
      <c r="E1450" s="6">
        <v>0.56503024369999999</v>
      </c>
    </row>
    <row r="1451" spans="1:5" x14ac:dyDescent="0.3">
      <c r="A1451" s="7">
        <v>183</v>
      </c>
      <c r="B1451" s="7" t="s">
        <v>231</v>
      </c>
      <c r="C1451" s="7">
        <v>-3</v>
      </c>
      <c r="D1451" s="10">
        <v>1E-3</v>
      </c>
      <c r="E1451" s="8">
        <v>0.68353644020000004</v>
      </c>
    </row>
    <row r="1452" spans="1:5" x14ac:dyDescent="0.3">
      <c r="A1452" s="5">
        <v>183</v>
      </c>
      <c r="B1452" s="5" t="s">
        <v>231</v>
      </c>
      <c r="C1452" s="5">
        <v>-2</v>
      </c>
      <c r="D1452" s="9">
        <v>0.01</v>
      </c>
      <c r="E1452" s="6">
        <v>-0.53061476320000001</v>
      </c>
    </row>
    <row r="1453" spans="1:5" x14ac:dyDescent="0.3">
      <c r="A1453" s="7">
        <v>183</v>
      </c>
      <c r="B1453" s="7" t="s">
        <v>231</v>
      </c>
      <c r="C1453" s="7">
        <v>-1</v>
      </c>
      <c r="D1453" s="10">
        <v>0.1</v>
      </c>
      <c r="E1453" s="8">
        <v>-1.1555232197</v>
      </c>
    </row>
    <row r="1454" spans="1:5" x14ac:dyDescent="0.3">
      <c r="A1454" s="5">
        <v>183</v>
      </c>
      <c r="B1454" s="5" t="s">
        <v>231</v>
      </c>
      <c r="C1454" s="5">
        <v>0</v>
      </c>
      <c r="D1454" s="9">
        <v>1</v>
      </c>
      <c r="E1454" s="6">
        <v>-1.3440309561999999</v>
      </c>
    </row>
    <row r="1455" spans="1:5" x14ac:dyDescent="0.3">
      <c r="A1455" s="7">
        <v>183</v>
      </c>
      <c r="B1455" s="7" t="s">
        <v>231</v>
      </c>
      <c r="C1455" s="7">
        <v>1</v>
      </c>
      <c r="D1455" s="10">
        <v>10</v>
      </c>
      <c r="E1455" s="8">
        <v>-1.3563589096999999</v>
      </c>
    </row>
    <row r="1456" spans="1:5" x14ac:dyDescent="0.3">
      <c r="A1456" s="5">
        <v>183</v>
      </c>
      <c r="B1456" s="5" t="s">
        <v>231</v>
      </c>
      <c r="C1456" s="5">
        <v>2</v>
      </c>
      <c r="D1456" s="9">
        <v>100</v>
      </c>
      <c r="E1456" s="6">
        <v>-1.3598337802</v>
      </c>
    </row>
    <row r="1457" spans="1:5" x14ac:dyDescent="0.3">
      <c r="A1457" s="7">
        <v>183</v>
      </c>
      <c r="B1457" s="7" t="s">
        <v>231</v>
      </c>
      <c r="C1457" s="7">
        <v>3</v>
      </c>
      <c r="D1457" s="10">
        <v>1000</v>
      </c>
      <c r="E1457" s="8">
        <v>-1.3614753019000001</v>
      </c>
    </row>
    <row r="1458" spans="1:5" x14ac:dyDescent="0.3">
      <c r="A1458" s="5">
        <v>184</v>
      </c>
      <c r="B1458" s="5" t="s">
        <v>232</v>
      </c>
      <c r="C1458" s="5">
        <v>-4</v>
      </c>
      <c r="D1458" s="9">
        <v>1E-4</v>
      </c>
      <c r="E1458" s="6">
        <v>0.6501492754</v>
      </c>
    </row>
    <row r="1459" spans="1:5" x14ac:dyDescent="0.3">
      <c r="A1459" s="7">
        <v>184</v>
      </c>
      <c r="B1459" s="7" t="s">
        <v>232</v>
      </c>
      <c r="C1459" s="7">
        <v>-3</v>
      </c>
      <c r="D1459" s="10">
        <v>1E-3</v>
      </c>
      <c r="E1459" s="8">
        <v>0.69732404969999995</v>
      </c>
    </row>
    <row r="1460" spans="1:5" x14ac:dyDescent="0.3">
      <c r="A1460" s="5">
        <v>184</v>
      </c>
      <c r="B1460" s="5" t="s">
        <v>232</v>
      </c>
      <c r="C1460" s="5">
        <v>-2</v>
      </c>
      <c r="D1460" s="9">
        <v>0.01</v>
      </c>
      <c r="E1460" s="6">
        <v>0.84950357440000002</v>
      </c>
    </row>
    <row r="1461" spans="1:5" x14ac:dyDescent="0.3">
      <c r="A1461" s="7">
        <v>184</v>
      </c>
      <c r="B1461" s="7" t="s">
        <v>232</v>
      </c>
      <c r="C1461" s="7">
        <v>-1</v>
      </c>
      <c r="D1461" s="10">
        <v>0.1</v>
      </c>
      <c r="E1461" s="8">
        <v>0.55571285589999997</v>
      </c>
    </row>
    <row r="1462" spans="1:5" x14ac:dyDescent="0.3">
      <c r="A1462" s="5">
        <v>184</v>
      </c>
      <c r="B1462" s="5" t="s">
        <v>232</v>
      </c>
      <c r="C1462" s="5">
        <v>0</v>
      </c>
      <c r="D1462" s="9">
        <v>1</v>
      </c>
      <c r="E1462" s="6">
        <v>0.38478913710000001</v>
      </c>
    </row>
    <row r="1463" spans="1:5" x14ac:dyDescent="0.3">
      <c r="A1463" s="7">
        <v>184</v>
      </c>
      <c r="B1463" s="7" t="s">
        <v>232</v>
      </c>
      <c r="C1463" s="7">
        <v>1</v>
      </c>
      <c r="D1463" s="10">
        <v>10</v>
      </c>
      <c r="E1463" s="8">
        <v>0.36968497589999999</v>
      </c>
    </row>
    <row r="1464" spans="1:5" x14ac:dyDescent="0.3">
      <c r="A1464" s="5">
        <v>184</v>
      </c>
      <c r="B1464" s="5" t="s">
        <v>232</v>
      </c>
      <c r="C1464" s="5">
        <v>2</v>
      </c>
      <c r="D1464" s="9">
        <v>100</v>
      </c>
      <c r="E1464" s="6">
        <v>0.37024159000000001</v>
      </c>
    </row>
    <row r="1465" spans="1:5" x14ac:dyDescent="0.3">
      <c r="A1465" s="7">
        <v>184</v>
      </c>
      <c r="B1465" s="7" t="s">
        <v>232</v>
      </c>
      <c r="C1465" s="7">
        <v>3</v>
      </c>
      <c r="D1465" s="10">
        <v>1000</v>
      </c>
      <c r="E1465" s="8">
        <v>0.36950365750000003</v>
      </c>
    </row>
    <row r="1466" spans="1:5" x14ac:dyDescent="0.3">
      <c r="A1466" s="5">
        <v>185</v>
      </c>
      <c r="B1466" s="5" t="s">
        <v>233</v>
      </c>
      <c r="C1466" s="5">
        <v>-4</v>
      </c>
      <c r="D1466" s="9">
        <v>1E-4</v>
      </c>
      <c r="E1466" s="6">
        <v>0.73330415959999995</v>
      </c>
    </row>
    <row r="1467" spans="1:5" x14ac:dyDescent="0.3">
      <c r="A1467" s="7">
        <v>185</v>
      </c>
      <c r="B1467" s="7" t="s">
        <v>233</v>
      </c>
      <c r="C1467" s="7">
        <v>-3</v>
      </c>
      <c r="D1467" s="10">
        <v>1E-3</v>
      </c>
      <c r="E1467" s="8">
        <v>0.7515850503</v>
      </c>
    </row>
    <row r="1468" spans="1:5" x14ac:dyDescent="0.3">
      <c r="A1468" s="5">
        <v>185</v>
      </c>
      <c r="B1468" s="5" t="s">
        <v>233</v>
      </c>
      <c r="C1468" s="5">
        <v>-2</v>
      </c>
      <c r="D1468" s="9">
        <v>0.01</v>
      </c>
      <c r="E1468" s="6">
        <v>-0.84448255839999997</v>
      </c>
    </row>
    <row r="1469" spans="1:5" x14ac:dyDescent="0.3">
      <c r="A1469" s="7">
        <v>185</v>
      </c>
      <c r="B1469" s="7" t="s">
        <v>233</v>
      </c>
      <c r="C1469" s="7">
        <v>-1</v>
      </c>
      <c r="D1469" s="10">
        <v>0.1</v>
      </c>
      <c r="E1469" s="8">
        <v>-3.4775075898000001</v>
      </c>
    </row>
    <row r="1470" spans="1:5" x14ac:dyDescent="0.3">
      <c r="A1470" s="5">
        <v>185</v>
      </c>
      <c r="B1470" s="5" t="s">
        <v>233</v>
      </c>
      <c r="C1470" s="5">
        <v>0</v>
      </c>
      <c r="D1470" s="9">
        <v>1</v>
      </c>
      <c r="E1470" s="6">
        <v>-4.4559305257000004</v>
      </c>
    </row>
    <row r="1471" spans="1:5" x14ac:dyDescent="0.3">
      <c r="A1471" s="7">
        <v>185</v>
      </c>
      <c r="B1471" s="7" t="s">
        <v>233</v>
      </c>
      <c r="C1471" s="7">
        <v>1</v>
      </c>
      <c r="D1471" s="10">
        <v>10</v>
      </c>
      <c r="E1471" s="8">
        <v>-4.5071057089000002</v>
      </c>
    </row>
    <row r="1472" spans="1:5" x14ac:dyDescent="0.3">
      <c r="A1472" s="5">
        <v>185</v>
      </c>
      <c r="B1472" s="5" t="s">
        <v>233</v>
      </c>
      <c r="C1472" s="5">
        <v>2</v>
      </c>
      <c r="D1472" s="9">
        <v>100</v>
      </c>
      <c r="E1472" s="6">
        <v>-4.5053273710999999</v>
      </c>
    </row>
    <row r="1473" spans="1:5" x14ac:dyDescent="0.3">
      <c r="A1473" s="7">
        <v>185</v>
      </c>
      <c r="B1473" s="7" t="s">
        <v>233</v>
      </c>
      <c r="C1473" s="7">
        <v>3</v>
      </c>
      <c r="D1473" s="10">
        <v>1000</v>
      </c>
      <c r="E1473" s="8">
        <v>-4.5221668515999998</v>
      </c>
    </row>
    <row r="1474" spans="1:5" x14ac:dyDescent="0.3">
      <c r="A1474" s="5">
        <v>186</v>
      </c>
      <c r="B1474" s="5" t="s">
        <v>234</v>
      </c>
      <c r="C1474" s="5">
        <v>-4</v>
      </c>
      <c r="D1474" s="9">
        <v>1E-4</v>
      </c>
      <c r="E1474" s="6">
        <v>0.29998366900000001</v>
      </c>
    </row>
    <row r="1475" spans="1:5" x14ac:dyDescent="0.3">
      <c r="A1475" s="7">
        <v>186</v>
      </c>
      <c r="B1475" s="7" t="s">
        <v>234</v>
      </c>
      <c r="C1475" s="7">
        <v>-3</v>
      </c>
      <c r="D1475" s="10">
        <v>1E-3</v>
      </c>
      <c r="E1475" s="8">
        <v>0.65177439270000004</v>
      </c>
    </row>
    <row r="1476" spans="1:5" x14ac:dyDescent="0.3">
      <c r="A1476" s="5">
        <v>186</v>
      </c>
      <c r="B1476" s="5" t="s">
        <v>234</v>
      </c>
      <c r="C1476" s="5">
        <v>-2</v>
      </c>
      <c r="D1476" s="9">
        <v>0.01</v>
      </c>
      <c r="E1476" s="6">
        <v>0.90804939380000005</v>
      </c>
    </row>
    <row r="1477" spans="1:5" x14ac:dyDescent="0.3">
      <c r="A1477" s="7">
        <v>186</v>
      </c>
      <c r="B1477" s="7" t="s">
        <v>234</v>
      </c>
      <c r="C1477" s="7">
        <v>-1</v>
      </c>
      <c r="D1477" s="10">
        <v>0.1</v>
      </c>
      <c r="E1477" s="8">
        <v>0.69781816070000002</v>
      </c>
    </row>
    <row r="1478" spans="1:5" x14ac:dyDescent="0.3">
      <c r="A1478" s="5">
        <v>186</v>
      </c>
      <c r="B1478" s="5" t="s">
        <v>234</v>
      </c>
      <c r="C1478" s="5">
        <v>0</v>
      </c>
      <c r="D1478" s="9">
        <v>1</v>
      </c>
      <c r="E1478" s="6">
        <v>0.56336627569999997</v>
      </c>
    </row>
    <row r="1479" spans="1:5" x14ac:dyDescent="0.3">
      <c r="A1479" s="7">
        <v>186</v>
      </c>
      <c r="B1479" s="7" t="s">
        <v>234</v>
      </c>
      <c r="C1479" s="7">
        <v>1</v>
      </c>
      <c r="D1479" s="10">
        <v>10</v>
      </c>
      <c r="E1479" s="8">
        <v>0.5479193792</v>
      </c>
    </row>
    <row r="1480" spans="1:5" x14ac:dyDescent="0.3">
      <c r="A1480" s="5">
        <v>186</v>
      </c>
      <c r="B1480" s="5" t="s">
        <v>234</v>
      </c>
      <c r="C1480" s="5">
        <v>2</v>
      </c>
      <c r="D1480" s="9">
        <v>100</v>
      </c>
      <c r="E1480" s="6">
        <v>0.54801488259999998</v>
      </c>
    </row>
    <row r="1481" spans="1:5" x14ac:dyDescent="0.3">
      <c r="A1481" s="7">
        <v>186</v>
      </c>
      <c r="B1481" s="7" t="s">
        <v>234</v>
      </c>
      <c r="C1481" s="7">
        <v>3</v>
      </c>
      <c r="D1481" s="10">
        <v>1000</v>
      </c>
      <c r="E1481" s="8">
        <v>0.54867188170000003</v>
      </c>
    </row>
    <row r="1482" spans="1:5" x14ac:dyDescent="0.3">
      <c r="A1482" s="5">
        <v>187</v>
      </c>
      <c r="B1482" s="5" t="s">
        <v>235</v>
      </c>
      <c r="C1482" s="5">
        <v>-4</v>
      </c>
      <c r="D1482" s="9">
        <v>1E-4</v>
      </c>
      <c r="E1482" s="6">
        <v>0.58152308640000006</v>
      </c>
    </row>
    <row r="1483" spans="1:5" x14ac:dyDescent="0.3">
      <c r="A1483" s="7">
        <v>187</v>
      </c>
      <c r="B1483" s="7" t="s">
        <v>235</v>
      </c>
      <c r="C1483" s="7">
        <v>-3</v>
      </c>
      <c r="D1483" s="10">
        <v>1E-3</v>
      </c>
      <c r="E1483" s="8">
        <v>0.78594088910000004</v>
      </c>
    </row>
    <row r="1484" spans="1:5" x14ac:dyDescent="0.3">
      <c r="A1484" s="5">
        <v>187</v>
      </c>
      <c r="B1484" s="5" t="s">
        <v>235</v>
      </c>
      <c r="C1484" s="5">
        <v>-2</v>
      </c>
      <c r="D1484" s="9">
        <v>0.01</v>
      </c>
      <c r="E1484" s="6">
        <v>0.82051461240000001</v>
      </c>
    </row>
    <row r="1485" spans="1:5" x14ac:dyDescent="0.3">
      <c r="A1485" s="7">
        <v>187</v>
      </c>
      <c r="B1485" s="7" t="s">
        <v>235</v>
      </c>
      <c r="C1485" s="7">
        <v>-1</v>
      </c>
      <c r="D1485" s="10">
        <v>0.1</v>
      </c>
      <c r="E1485" s="8">
        <v>-0.12334535250000001</v>
      </c>
    </row>
    <row r="1486" spans="1:5" x14ac:dyDescent="0.3">
      <c r="A1486" s="5">
        <v>187</v>
      </c>
      <c r="B1486" s="5" t="s">
        <v>235</v>
      </c>
      <c r="C1486" s="5">
        <v>0</v>
      </c>
      <c r="D1486" s="9">
        <v>1</v>
      </c>
      <c r="E1486" s="6">
        <v>-0.46348284569999998</v>
      </c>
    </row>
    <row r="1487" spans="1:5" x14ac:dyDescent="0.3">
      <c r="A1487" s="7">
        <v>187</v>
      </c>
      <c r="B1487" s="7" t="s">
        <v>235</v>
      </c>
      <c r="C1487" s="7">
        <v>1</v>
      </c>
      <c r="D1487" s="10">
        <v>10</v>
      </c>
      <c r="E1487" s="8">
        <v>-0.50588923669999997</v>
      </c>
    </row>
    <row r="1488" spans="1:5" x14ac:dyDescent="0.3">
      <c r="A1488" s="5">
        <v>187</v>
      </c>
      <c r="B1488" s="5" t="s">
        <v>235</v>
      </c>
      <c r="C1488" s="5">
        <v>2</v>
      </c>
      <c r="D1488" s="9">
        <v>100</v>
      </c>
      <c r="E1488" s="6">
        <v>-0.4859749109</v>
      </c>
    </row>
    <row r="1489" spans="1:5" x14ac:dyDescent="0.3">
      <c r="A1489" s="7">
        <v>187</v>
      </c>
      <c r="B1489" s="7" t="s">
        <v>235</v>
      </c>
      <c r="C1489" s="7">
        <v>3</v>
      </c>
      <c r="D1489" s="10">
        <v>1000</v>
      </c>
      <c r="E1489" s="8">
        <v>-0.50259147140000004</v>
      </c>
    </row>
    <row r="1490" spans="1:5" x14ac:dyDescent="0.3">
      <c r="A1490" s="5">
        <v>188</v>
      </c>
      <c r="B1490" s="5" t="s">
        <v>236</v>
      </c>
      <c r="C1490" s="5">
        <v>-4</v>
      </c>
      <c r="D1490" s="9">
        <v>1E-4</v>
      </c>
      <c r="E1490" s="6">
        <v>0.47043031289999998</v>
      </c>
    </row>
    <row r="1491" spans="1:5" x14ac:dyDescent="0.3">
      <c r="A1491" s="7">
        <v>188</v>
      </c>
      <c r="B1491" s="7" t="s">
        <v>236</v>
      </c>
      <c r="C1491" s="7">
        <v>-3</v>
      </c>
      <c r="D1491" s="10">
        <v>1E-3</v>
      </c>
      <c r="E1491" s="8">
        <v>0.74117475349999995</v>
      </c>
    </row>
    <row r="1492" spans="1:5" x14ac:dyDescent="0.3">
      <c r="A1492" s="5">
        <v>188</v>
      </c>
      <c r="B1492" s="5" t="s">
        <v>236</v>
      </c>
      <c r="C1492" s="5">
        <v>-2</v>
      </c>
      <c r="D1492" s="9">
        <v>0.01</v>
      </c>
      <c r="E1492" s="6">
        <v>0.1452276861</v>
      </c>
    </row>
    <row r="1493" spans="1:5" x14ac:dyDescent="0.3">
      <c r="A1493" s="7">
        <v>188</v>
      </c>
      <c r="B1493" s="7" t="s">
        <v>236</v>
      </c>
      <c r="C1493" s="7">
        <v>-1</v>
      </c>
      <c r="D1493" s="10">
        <v>0.1</v>
      </c>
      <c r="E1493" s="8">
        <v>-0.41000394350000002</v>
      </c>
    </row>
    <row r="1494" spans="1:5" x14ac:dyDescent="0.3">
      <c r="A1494" s="5">
        <v>188</v>
      </c>
      <c r="B1494" s="5" t="s">
        <v>236</v>
      </c>
      <c r="C1494" s="5">
        <v>0</v>
      </c>
      <c r="D1494" s="9">
        <v>1</v>
      </c>
      <c r="E1494" s="6">
        <v>-0.53364018120000001</v>
      </c>
    </row>
    <row r="1495" spans="1:5" x14ac:dyDescent="0.3">
      <c r="A1495" s="7">
        <v>188</v>
      </c>
      <c r="B1495" s="7" t="s">
        <v>236</v>
      </c>
      <c r="C1495" s="7">
        <v>1</v>
      </c>
      <c r="D1495" s="10">
        <v>10</v>
      </c>
      <c r="E1495" s="8">
        <v>-0.54203671080000004</v>
      </c>
    </row>
    <row r="1496" spans="1:5" x14ac:dyDescent="0.3">
      <c r="A1496" s="5">
        <v>188</v>
      </c>
      <c r="B1496" s="5" t="s">
        <v>236</v>
      </c>
      <c r="C1496" s="5">
        <v>2</v>
      </c>
      <c r="D1496" s="9">
        <v>100</v>
      </c>
      <c r="E1496" s="6">
        <v>-0.54230881559999999</v>
      </c>
    </row>
    <row r="1497" spans="1:5" x14ac:dyDescent="0.3">
      <c r="A1497" s="7">
        <v>188</v>
      </c>
      <c r="B1497" s="7" t="s">
        <v>236</v>
      </c>
      <c r="C1497" s="7">
        <v>3</v>
      </c>
      <c r="D1497" s="10">
        <v>1000</v>
      </c>
      <c r="E1497" s="8">
        <v>-0.54229354330000001</v>
      </c>
    </row>
    <row r="1498" spans="1:5" x14ac:dyDescent="0.3">
      <c r="A1498" s="5">
        <v>189</v>
      </c>
      <c r="B1498" s="5" t="s">
        <v>237</v>
      </c>
      <c r="C1498" s="5">
        <v>-4</v>
      </c>
      <c r="D1498" s="9">
        <v>1E-4</v>
      </c>
      <c r="E1498" s="6">
        <v>0.23111809990000001</v>
      </c>
    </row>
    <row r="1499" spans="1:5" x14ac:dyDescent="0.3">
      <c r="A1499" s="7">
        <v>189</v>
      </c>
      <c r="B1499" s="7" t="s">
        <v>237</v>
      </c>
      <c r="C1499" s="7">
        <v>-3</v>
      </c>
      <c r="D1499" s="10">
        <v>1E-3</v>
      </c>
      <c r="E1499" s="8">
        <v>0.51616403239999997</v>
      </c>
    </row>
    <row r="1500" spans="1:5" x14ac:dyDescent="0.3">
      <c r="A1500" s="5">
        <v>189</v>
      </c>
      <c r="B1500" s="5" t="s">
        <v>237</v>
      </c>
      <c r="C1500" s="5">
        <v>-2</v>
      </c>
      <c r="D1500" s="9">
        <v>0.01</v>
      </c>
      <c r="E1500" s="6">
        <v>0.90372308629999998</v>
      </c>
    </row>
    <row r="1501" spans="1:5" x14ac:dyDescent="0.3">
      <c r="A1501" s="7">
        <v>189</v>
      </c>
      <c r="B1501" s="7" t="s">
        <v>237</v>
      </c>
      <c r="C1501" s="7">
        <v>-1</v>
      </c>
      <c r="D1501" s="10">
        <v>0.1</v>
      </c>
      <c r="E1501" s="8">
        <v>0.35599914780000003</v>
      </c>
    </row>
    <row r="1502" spans="1:5" x14ac:dyDescent="0.3">
      <c r="A1502" s="5">
        <v>189</v>
      </c>
      <c r="B1502" s="5" t="s">
        <v>237</v>
      </c>
      <c r="C1502" s="5">
        <v>0</v>
      </c>
      <c r="D1502" s="9">
        <v>1</v>
      </c>
      <c r="E1502" s="6">
        <v>6.0798718100000003E-2</v>
      </c>
    </row>
    <row r="1503" spans="1:5" x14ac:dyDescent="0.3">
      <c r="A1503" s="7">
        <v>189</v>
      </c>
      <c r="B1503" s="7" t="s">
        <v>237</v>
      </c>
      <c r="C1503" s="7">
        <v>1</v>
      </c>
      <c r="D1503" s="10">
        <v>10</v>
      </c>
      <c r="E1503" s="8">
        <v>2.24470378E-2</v>
      </c>
    </row>
    <row r="1504" spans="1:5" x14ac:dyDescent="0.3">
      <c r="A1504" s="5">
        <v>189</v>
      </c>
      <c r="B1504" s="5" t="s">
        <v>237</v>
      </c>
      <c r="C1504" s="5">
        <v>2</v>
      </c>
      <c r="D1504" s="9">
        <v>100</v>
      </c>
      <c r="E1504" s="6">
        <v>3.0458782899999998E-2</v>
      </c>
    </row>
    <row r="1505" spans="1:5" x14ac:dyDescent="0.3">
      <c r="A1505" s="7">
        <v>189</v>
      </c>
      <c r="B1505" s="7" t="s">
        <v>237</v>
      </c>
      <c r="C1505" s="7">
        <v>3</v>
      </c>
      <c r="D1505" s="10">
        <v>1000</v>
      </c>
      <c r="E1505" s="8">
        <v>3.0684955199999999E-2</v>
      </c>
    </row>
    <row r="1506" spans="1:5" x14ac:dyDescent="0.3">
      <c r="A1506" s="5">
        <v>190</v>
      </c>
      <c r="B1506" s="5" t="s">
        <v>238</v>
      </c>
      <c r="C1506" s="5">
        <v>-4</v>
      </c>
      <c r="D1506" s="9">
        <v>1E-4</v>
      </c>
      <c r="E1506" s="6">
        <v>0.17834443680000001</v>
      </c>
    </row>
    <row r="1507" spans="1:5" x14ac:dyDescent="0.3">
      <c r="A1507" s="7">
        <v>190</v>
      </c>
      <c r="B1507" s="7" t="s">
        <v>238</v>
      </c>
      <c r="C1507" s="7">
        <v>-3</v>
      </c>
      <c r="D1507" s="10">
        <v>1E-3</v>
      </c>
      <c r="E1507" s="8">
        <v>0.4697672698</v>
      </c>
    </row>
    <row r="1508" spans="1:5" x14ac:dyDescent="0.3">
      <c r="A1508" s="5">
        <v>190</v>
      </c>
      <c r="B1508" s="5" t="s">
        <v>238</v>
      </c>
      <c r="C1508" s="5">
        <v>-2</v>
      </c>
      <c r="D1508" s="9">
        <v>0.01</v>
      </c>
      <c r="E1508" s="6">
        <v>0.85959045430000003</v>
      </c>
    </row>
    <row r="1509" spans="1:5" x14ac:dyDescent="0.3">
      <c r="A1509" s="7">
        <v>190</v>
      </c>
      <c r="B1509" s="7" t="s">
        <v>238</v>
      </c>
      <c r="C1509" s="7">
        <v>-1</v>
      </c>
      <c r="D1509" s="10">
        <v>0.1</v>
      </c>
      <c r="E1509" s="8">
        <v>0.735202774</v>
      </c>
    </row>
    <row r="1510" spans="1:5" x14ac:dyDescent="0.3">
      <c r="A1510" s="5">
        <v>190</v>
      </c>
      <c r="B1510" s="5" t="s">
        <v>238</v>
      </c>
      <c r="C1510" s="5">
        <v>0</v>
      </c>
      <c r="D1510" s="9">
        <v>1</v>
      </c>
      <c r="E1510" s="6">
        <v>0.60705896869999998</v>
      </c>
    </row>
    <row r="1511" spans="1:5" x14ac:dyDescent="0.3">
      <c r="A1511" s="7">
        <v>190</v>
      </c>
      <c r="B1511" s="7" t="s">
        <v>238</v>
      </c>
      <c r="C1511" s="7">
        <v>1</v>
      </c>
      <c r="D1511" s="10">
        <v>10</v>
      </c>
      <c r="E1511" s="8">
        <v>0.58556222820000003</v>
      </c>
    </row>
    <row r="1512" spans="1:5" x14ac:dyDescent="0.3">
      <c r="A1512" s="5">
        <v>190</v>
      </c>
      <c r="B1512" s="5" t="s">
        <v>238</v>
      </c>
      <c r="C1512" s="5">
        <v>2</v>
      </c>
      <c r="D1512" s="9">
        <v>100</v>
      </c>
      <c r="E1512" s="6">
        <v>0.58513108469999997</v>
      </c>
    </row>
    <row r="1513" spans="1:5" x14ac:dyDescent="0.3">
      <c r="A1513" s="7">
        <v>190</v>
      </c>
      <c r="B1513" s="7" t="s">
        <v>238</v>
      </c>
      <c r="C1513" s="7">
        <v>3</v>
      </c>
      <c r="D1513" s="10">
        <v>1000</v>
      </c>
      <c r="E1513" s="8">
        <v>0.58632632890000003</v>
      </c>
    </row>
    <row r="1514" spans="1:5" x14ac:dyDescent="0.3">
      <c r="A1514" s="5">
        <v>191</v>
      </c>
      <c r="B1514" s="5" t="s">
        <v>239</v>
      </c>
      <c r="C1514" s="5">
        <v>-4</v>
      </c>
      <c r="D1514" s="9">
        <v>1E-4</v>
      </c>
      <c r="E1514" s="6">
        <v>0.28150073650000002</v>
      </c>
    </row>
    <row r="1515" spans="1:5" x14ac:dyDescent="0.3">
      <c r="A1515" s="7">
        <v>191</v>
      </c>
      <c r="B1515" s="7" t="s">
        <v>239</v>
      </c>
      <c r="C1515" s="7">
        <v>-3</v>
      </c>
      <c r="D1515" s="10">
        <v>1E-3</v>
      </c>
      <c r="E1515" s="8">
        <v>0.4856720035</v>
      </c>
    </row>
    <row r="1516" spans="1:5" x14ac:dyDescent="0.3">
      <c r="A1516" s="5">
        <v>191</v>
      </c>
      <c r="B1516" s="5" t="s">
        <v>239</v>
      </c>
      <c r="C1516" s="5">
        <v>-2</v>
      </c>
      <c r="D1516" s="9">
        <v>0.01</v>
      </c>
      <c r="E1516" s="6">
        <v>0.8681411175</v>
      </c>
    </row>
    <row r="1517" spans="1:5" x14ac:dyDescent="0.3">
      <c r="A1517" s="7">
        <v>191</v>
      </c>
      <c r="B1517" s="7" t="s">
        <v>239</v>
      </c>
      <c r="C1517" s="7">
        <v>-1</v>
      </c>
      <c r="D1517" s="10">
        <v>0.1</v>
      </c>
      <c r="E1517" s="8">
        <v>0.41255897050000001</v>
      </c>
    </row>
    <row r="1518" spans="1:5" x14ac:dyDescent="0.3">
      <c r="A1518" s="5">
        <v>191</v>
      </c>
      <c r="B1518" s="5" t="s">
        <v>239</v>
      </c>
      <c r="C1518" s="5">
        <v>0</v>
      </c>
      <c r="D1518" s="9">
        <v>1</v>
      </c>
      <c r="E1518" s="6">
        <v>0.1859851464</v>
      </c>
    </row>
    <row r="1519" spans="1:5" x14ac:dyDescent="0.3">
      <c r="A1519" s="7">
        <v>191</v>
      </c>
      <c r="B1519" s="7" t="s">
        <v>239</v>
      </c>
      <c r="C1519" s="7">
        <v>1</v>
      </c>
      <c r="D1519" s="10">
        <v>10</v>
      </c>
      <c r="E1519" s="8">
        <v>0.16847548130000001</v>
      </c>
    </row>
    <row r="1520" spans="1:5" x14ac:dyDescent="0.3">
      <c r="A1520" s="5">
        <v>191</v>
      </c>
      <c r="B1520" s="5" t="s">
        <v>239</v>
      </c>
      <c r="C1520" s="5">
        <v>2</v>
      </c>
      <c r="D1520" s="9">
        <v>100</v>
      </c>
      <c r="E1520" s="6">
        <v>0.16705333150000001</v>
      </c>
    </row>
    <row r="1521" spans="1:5" x14ac:dyDescent="0.3">
      <c r="A1521" s="7">
        <v>191</v>
      </c>
      <c r="B1521" s="7" t="s">
        <v>239</v>
      </c>
      <c r="C1521" s="7">
        <v>3</v>
      </c>
      <c r="D1521" s="10">
        <v>1000</v>
      </c>
      <c r="E1521" s="8">
        <v>0.16512797479999999</v>
      </c>
    </row>
    <row r="1522" spans="1:5" x14ac:dyDescent="0.3">
      <c r="A1522" s="5">
        <v>192</v>
      </c>
      <c r="B1522" s="5" t="s">
        <v>240</v>
      </c>
      <c r="C1522" s="5">
        <v>-4</v>
      </c>
      <c r="D1522" s="9">
        <v>1E-4</v>
      </c>
      <c r="E1522" s="6">
        <v>0.35849574690000002</v>
      </c>
    </row>
    <row r="1523" spans="1:5" x14ac:dyDescent="0.3">
      <c r="A1523" s="7">
        <v>192</v>
      </c>
      <c r="B1523" s="7" t="s">
        <v>240</v>
      </c>
      <c r="C1523" s="7">
        <v>-3</v>
      </c>
      <c r="D1523" s="10">
        <v>1E-3</v>
      </c>
      <c r="E1523" s="8">
        <v>0.56605639029999999</v>
      </c>
    </row>
    <row r="1524" spans="1:5" x14ac:dyDescent="0.3">
      <c r="A1524" s="5">
        <v>192</v>
      </c>
      <c r="B1524" s="5" t="s">
        <v>240</v>
      </c>
      <c r="C1524" s="5">
        <v>-2</v>
      </c>
      <c r="D1524" s="9">
        <v>0.01</v>
      </c>
      <c r="E1524" s="6">
        <v>0.91249314709999996</v>
      </c>
    </row>
    <row r="1525" spans="1:5" x14ac:dyDescent="0.3">
      <c r="A1525" s="7">
        <v>192</v>
      </c>
      <c r="B1525" s="7" t="s">
        <v>240</v>
      </c>
      <c r="C1525" s="7">
        <v>-1</v>
      </c>
      <c r="D1525" s="10">
        <v>0.1</v>
      </c>
      <c r="E1525" s="8">
        <v>0.90142715790000005</v>
      </c>
    </row>
    <row r="1526" spans="1:5" x14ac:dyDescent="0.3">
      <c r="A1526" s="5">
        <v>192</v>
      </c>
      <c r="B1526" s="5" t="s">
        <v>240</v>
      </c>
      <c r="C1526" s="5">
        <v>0</v>
      </c>
      <c r="D1526" s="9">
        <v>1</v>
      </c>
      <c r="E1526" s="6">
        <v>0.81216931550000004</v>
      </c>
    </row>
    <row r="1527" spans="1:5" x14ac:dyDescent="0.3">
      <c r="A1527" s="7">
        <v>192</v>
      </c>
      <c r="B1527" s="7" t="s">
        <v>240</v>
      </c>
      <c r="C1527" s="7">
        <v>1</v>
      </c>
      <c r="D1527" s="10">
        <v>10</v>
      </c>
      <c r="E1527" s="8">
        <v>0.79387872599999998</v>
      </c>
    </row>
    <row r="1528" spans="1:5" x14ac:dyDescent="0.3">
      <c r="A1528" s="5">
        <v>192</v>
      </c>
      <c r="B1528" s="5" t="s">
        <v>240</v>
      </c>
      <c r="C1528" s="5">
        <v>2</v>
      </c>
      <c r="D1528" s="9">
        <v>100</v>
      </c>
      <c r="E1528" s="6">
        <v>0.79414870879999999</v>
      </c>
    </row>
    <row r="1529" spans="1:5" x14ac:dyDescent="0.3">
      <c r="A1529" s="7">
        <v>192</v>
      </c>
      <c r="B1529" s="7" t="s">
        <v>240</v>
      </c>
      <c r="C1529" s="7">
        <v>3</v>
      </c>
      <c r="D1529" s="10">
        <v>1000</v>
      </c>
      <c r="E1529" s="8">
        <v>0.79455139299999999</v>
      </c>
    </row>
    <row r="1530" spans="1:5" x14ac:dyDescent="0.3">
      <c r="A1530" s="5">
        <v>193</v>
      </c>
      <c r="B1530" s="5" t="s">
        <v>241</v>
      </c>
      <c r="C1530" s="5">
        <v>-4</v>
      </c>
      <c r="D1530" s="9">
        <v>1E-4</v>
      </c>
      <c r="E1530" s="6">
        <v>0.2872145861</v>
      </c>
    </row>
    <row r="1531" spans="1:5" x14ac:dyDescent="0.3">
      <c r="A1531" s="7">
        <v>193</v>
      </c>
      <c r="B1531" s="7" t="s">
        <v>241</v>
      </c>
      <c r="C1531" s="7">
        <v>-3</v>
      </c>
      <c r="D1531" s="10">
        <v>1E-3</v>
      </c>
      <c r="E1531" s="8">
        <v>0.62086320939999995</v>
      </c>
    </row>
    <row r="1532" spans="1:5" x14ac:dyDescent="0.3">
      <c r="A1532" s="5">
        <v>193</v>
      </c>
      <c r="B1532" s="5" t="s">
        <v>241</v>
      </c>
      <c r="C1532" s="5">
        <v>-2</v>
      </c>
      <c r="D1532" s="9">
        <v>0.01</v>
      </c>
      <c r="E1532" s="6">
        <v>0.8803699009</v>
      </c>
    </row>
    <row r="1533" spans="1:5" x14ac:dyDescent="0.3">
      <c r="A1533" s="7">
        <v>193</v>
      </c>
      <c r="B1533" s="7" t="s">
        <v>241</v>
      </c>
      <c r="C1533" s="7">
        <v>-1</v>
      </c>
      <c r="D1533" s="10">
        <v>0.1</v>
      </c>
      <c r="E1533" s="8">
        <v>0.60411334910000003</v>
      </c>
    </row>
    <row r="1534" spans="1:5" x14ac:dyDescent="0.3">
      <c r="A1534" s="5">
        <v>193</v>
      </c>
      <c r="B1534" s="5" t="s">
        <v>241</v>
      </c>
      <c r="C1534" s="5">
        <v>0</v>
      </c>
      <c r="D1534" s="9">
        <v>1</v>
      </c>
      <c r="E1534" s="6">
        <v>0.4577346752</v>
      </c>
    </row>
    <row r="1535" spans="1:5" x14ac:dyDescent="0.3">
      <c r="A1535" s="7">
        <v>193</v>
      </c>
      <c r="B1535" s="7" t="s">
        <v>241</v>
      </c>
      <c r="C1535" s="7">
        <v>1</v>
      </c>
      <c r="D1535" s="10">
        <v>10</v>
      </c>
      <c r="E1535" s="8">
        <v>0.44893700060000002</v>
      </c>
    </row>
    <row r="1536" spans="1:5" x14ac:dyDescent="0.3">
      <c r="A1536" s="5">
        <v>193</v>
      </c>
      <c r="B1536" s="5" t="s">
        <v>241</v>
      </c>
      <c r="C1536" s="5">
        <v>2</v>
      </c>
      <c r="D1536" s="9">
        <v>100</v>
      </c>
      <c r="E1536" s="6">
        <v>0.45087479060000002</v>
      </c>
    </row>
    <row r="1537" spans="1:5" x14ac:dyDescent="0.3">
      <c r="A1537" s="7">
        <v>193</v>
      </c>
      <c r="B1537" s="7" t="s">
        <v>241</v>
      </c>
      <c r="C1537" s="7">
        <v>3</v>
      </c>
      <c r="D1537" s="10">
        <v>1000</v>
      </c>
      <c r="E1537" s="8">
        <v>0.45323347489999999</v>
      </c>
    </row>
    <row r="1538" spans="1:5" x14ac:dyDescent="0.3">
      <c r="A1538" s="5">
        <v>194</v>
      </c>
      <c r="B1538" s="5" t="s">
        <v>242</v>
      </c>
      <c r="C1538" s="5">
        <v>-4</v>
      </c>
      <c r="D1538" s="9">
        <v>1E-4</v>
      </c>
      <c r="E1538" s="6">
        <v>0.44324192150000002</v>
      </c>
    </row>
    <row r="1539" spans="1:5" x14ac:dyDescent="0.3">
      <c r="A1539" s="7">
        <v>194</v>
      </c>
      <c r="B1539" s="7" t="s">
        <v>242</v>
      </c>
      <c r="C1539" s="7">
        <v>-3</v>
      </c>
      <c r="D1539" s="10">
        <v>1E-3</v>
      </c>
      <c r="E1539" s="8">
        <v>0.71625445239999996</v>
      </c>
    </row>
    <row r="1540" spans="1:5" x14ac:dyDescent="0.3">
      <c r="A1540" s="5">
        <v>194</v>
      </c>
      <c r="B1540" s="5" t="s">
        <v>242</v>
      </c>
      <c r="C1540" s="5">
        <v>-2</v>
      </c>
      <c r="D1540" s="9">
        <v>0.01</v>
      </c>
      <c r="E1540" s="6">
        <v>0.2160510856</v>
      </c>
    </row>
    <row r="1541" spans="1:5" x14ac:dyDescent="0.3">
      <c r="A1541" s="7">
        <v>194</v>
      </c>
      <c r="B1541" s="7" t="s">
        <v>242</v>
      </c>
      <c r="C1541" s="7">
        <v>-1</v>
      </c>
      <c r="D1541" s="10">
        <v>0.1</v>
      </c>
      <c r="E1541" s="8">
        <v>-0.53597820190000001</v>
      </c>
    </row>
    <row r="1542" spans="1:5" x14ac:dyDescent="0.3">
      <c r="A1542" s="5">
        <v>194</v>
      </c>
      <c r="B1542" s="5" t="s">
        <v>242</v>
      </c>
      <c r="C1542" s="5">
        <v>0</v>
      </c>
      <c r="D1542" s="9">
        <v>1</v>
      </c>
      <c r="E1542" s="6">
        <v>-0.73007654619999995</v>
      </c>
    </row>
    <row r="1543" spans="1:5" x14ac:dyDescent="0.3">
      <c r="A1543" s="7">
        <v>194</v>
      </c>
      <c r="B1543" s="7" t="s">
        <v>242</v>
      </c>
      <c r="C1543" s="7">
        <v>1</v>
      </c>
      <c r="D1543" s="10">
        <v>10</v>
      </c>
      <c r="E1543" s="8">
        <v>-0.7442636171</v>
      </c>
    </row>
    <row r="1544" spans="1:5" x14ac:dyDescent="0.3">
      <c r="A1544" s="5">
        <v>194</v>
      </c>
      <c r="B1544" s="5" t="s">
        <v>242</v>
      </c>
      <c r="C1544" s="5">
        <v>2</v>
      </c>
      <c r="D1544" s="9">
        <v>100</v>
      </c>
      <c r="E1544" s="6">
        <v>-0.74306074970000002</v>
      </c>
    </row>
    <row r="1545" spans="1:5" x14ac:dyDescent="0.3">
      <c r="A1545" s="7">
        <v>194</v>
      </c>
      <c r="B1545" s="7" t="s">
        <v>242</v>
      </c>
      <c r="C1545" s="7">
        <v>3</v>
      </c>
      <c r="D1545" s="10">
        <v>1000</v>
      </c>
      <c r="E1545" s="8">
        <v>-0.74316815849999995</v>
      </c>
    </row>
    <row r="1546" spans="1:5" x14ac:dyDescent="0.3">
      <c r="A1546" s="5">
        <v>195</v>
      </c>
      <c r="B1546" s="5" t="s">
        <v>243</v>
      </c>
      <c r="C1546" s="5">
        <v>-4</v>
      </c>
      <c r="D1546" s="9">
        <v>1E-4</v>
      </c>
      <c r="E1546" s="6">
        <v>0.5097674848</v>
      </c>
    </row>
    <row r="1547" spans="1:5" x14ac:dyDescent="0.3">
      <c r="A1547" s="7">
        <v>195</v>
      </c>
      <c r="B1547" s="7" t="s">
        <v>243</v>
      </c>
      <c r="C1547" s="7">
        <v>-3</v>
      </c>
      <c r="D1547" s="10">
        <v>1E-3</v>
      </c>
      <c r="E1547" s="8">
        <v>0.70550703100000001</v>
      </c>
    </row>
    <row r="1548" spans="1:5" x14ac:dyDescent="0.3">
      <c r="A1548" s="5">
        <v>195</v>
      </c>
      <c r="B1548" s="5" t="s">
        <v>243</v>
      </c>
      <c r="C1548" s="5">
        <v>-2</v>
      </c>
      <c r="D1548" s="9">
        <v>0.01</v>
      </c>
      <c r="E1548" s="6">
        <v>0.90313030139999995</v>
      </c>
    </row>
    <row r="1549" spans="1:5" x14ac:dyDescent="0.3">
      <c r="A1549" s="7">
        <v>195</v>
      </c>
      <c r="B1549" s="7" t="s">
        <v>243</v>
      </c>
      <c r="C1549" s="7">
        <v>-1</v>
      </c>
      <c r="D1549" s="10">
        <v>0.1</v>
      </c>
      <c r="E1549" s="8">
        <v>0.68477683420000002</v>
      </c>
    </row>
    <row r="1550" spans="1:5" x14ac:dyDescent="0.3">
      <c r="A1550" s="5">
        <v>195</v>
      </c>
      <c r="B1550" s="5" t="s">
        <v>243</v>
      </c>
      <c r="C1550" s="5">
        <v>0</v>
      </c>
      <c r="D1550" s="9">
        <v>1</v>
      </c>
      <c r="E1550" s="6">
        <v>0.56193451400000005</v>
      </c>
    </row>
    <row r="1551" spans="1:5" x14ac:dyDescent="0.3">
      <c r="A1551" s="7">
        <v>195</v>
      </c>
      <c r="B1551" s="7" t="s">
        <v>243</v>
      </c>
      <c r="C1551" s="7">
        <v>1</v>
      </c>
      <c r="D1551" s="10">
        <v>10</v>
      </c>
      <c r="E1551" s="8">
        <v>0.55386432569999999</v>
      </c>
    </row>
    <row r="1552" spans="1:5" x14ac:dyDescent="0.3">
      <c r="A1552" s="5">
        <v>195</v>
      </c>
      <c r="B1552" s="5" t="s">
        <v>243</v>
      </c>
      <c r="C1552" s="5">
        <v>2</v>
      </c>
      <c r="D1552" s="9">
        <v>100</v>
      </c>
      <c r="E1552" s="6">
        <v>0.55416489869999996</v>
      </c>
    </row>
    <row r="1553" spans="1:5" x14ac:dyDescent="0.3">
      <c r="A1553" s="7">
        <v>195</v>
      </c>
      <c r="B1553" s="7" t="s">
        <v>243</v>
      </c>
      <c r="C1553" s="7">
        <v>3</v>
      </c>
      <c r="D1553" s="10">
        <v>1000</v>
      </c>
      <c r="E1553" s="8">
        <v>0.55391886379999999</v>
      </c>
    </row>
    <row r="1554" spans="1:5" x14ac:dyDescent="0.3">
      <c r="A1554" s="5">
        <v>196</v>
      </c>
      <c r="B1554" s="5" t="s">
        <v>244</v>
      </c>
      <c r="C1554" s="5">
        <v>-4</v>
      </c>
      <c r="D1554" s="9">
        <v>1E-4</v>
      </c>
      <c r="E1554" s="6">
        <v>0.74889641829999998</v>
      </c>
    </row>
    <row r="1555" spans="1:5" x14ac:dyDescent="0.3">
      <c r="A1555" s="7">
        <v>196</v>
      </c>
      <c r="B1555" s="7" t="s">
        <v>244</v>
      </c>
      <c r="C1555" s="7">
        <v>-3</v>
      </c>
      <c r="D1555" s="10">
        <v>1E-3</v>
      </c>
      <c r="E1555" s="8">
        <v>0.83847785809999997</v>
      </c>
    </row>
    <row r="1556" spans="1:5" x14ac:dyDescent="0.3">
      <c r="A1556" s="5">
        <v>196</v>
      </c>
      <c r="B1556" s="5" t="s">
        <v>244</v>
      </c>
      <c r="C1556" s="5">
        <v>-2</v>
      </c>
      <c r="D1556" s="9">
        <v>0.01</v>
      </c>
      <c r="E1556" s="6">
        <v>0.58589648790000004</v>
      </c>
    </row>
    <row r="1557" spans="1:5" x14ac:dyDescent="0.3">
      <c r="A1557" s="7">
        <v>196</v>
      </c>
      <c r="B1557" s="7" t="s">
        <v>244</v>
      </c>
      <c r="C1557" s="7">
        <v>-1</v>
      </c>
      <c r="D1557" s="10">
        <v>0.1</v>
      </c>
      <c r="E1557" s="8">
        <v>0.32581834209999999</v>
      </c>
    </row>
    <row r="1558" spans="1:5" x14ac:dyDescent="0.3">
      <c r="A1558" s="5">
        <v>196</v>
      </c>
      <c r="B1558" s="5" t="s">
        <v>244</v>
      </c>
      <c r="C1558" s="5">
        <v>0</v>
      </c>
      <c r="D1558" s="9">
        <v>1</v>
      </c>
      <c r="E1558" s="6">
        <v>0.2248258299</v>
      </c>
    </row>
    <row r="1559" spans="1:5" x14ac:dyDescent="0.3">
      <c r="A1559" s="7">
        <v>196</v>
      </c>
      <c r="B1559" s="7" t="s">
        <v>244</v>
      </c>
      <c r="C1559" s="7">
        <v>1</v>
      </c>
      <c r="D1559" s="10">
        <v>10</v>
      </c>
      <c r="E1559" s="8">
        <v>0.21650050309999999</v>
      </c>
    </row>
    <row r="1560" spans="1:5" x14ac:dyDescent="0.3">
      <c r="A1560" s="5">
        <v>196</v>
      </c>
      <c r="B1560" s="5" t="s">
        <v>244</v>
      </c>
      <c r="C1560" s="5">
        <v>2</v>
      </c>
      <c r="D1560" s="9">
        <v>100</v>
      </c>
      <c r="E1560" s="6">
        <v>0.21820398320000001</v>
      </c>
    </row>
    <row r="1561" spans="1:5" x14ac:dyDescent="0.3">
      <c r="A1561" s="7">
        <v>196</v>
      </c>
      <c r="B1561" s="7" t="s">
        <v>244</v>
      </c>
      <c r="C1561" s="7">
        <v>3</v>
      </c>
      <c r="D1561" s="10">
        <v>1000</v>
      </c>
      <c r="E1561" s="8">
        <v>0.2162966073</v>
      </c>
    </row>
    <row r="1562" spans="1:5" x14ac:dyDescent="0.3">
      <c r="A1562" s="5">
        <v>197</v>
      </c>
      <c r="B1562" s="5" t="s">
        <v>245</v>
      </c>
      <c r="C1562" s="5">
        <v>-4</v>
      </c>
      <c r="D1562" s="9">
        <v>1E-4</v>
      </c>
      <c r="E1562" s="6">
        <v>0.61130715820000003</v>
      </c>
    </row>
    <row r="1563" spans="1:5" x14ac:dyDescent="0.3">
      <c r="A1563" s="7">
        <v>197</v>
      </c>
      <c r="B1563" s="7" t="s">
        <v>245</v>
      </c>
      <c r="C1563" s="7">
        <v>-3</v>
      </c>
      <c r="D1563" s="10">
        <v>1E-3</v>
      </c>
      <c r="E1563" s="8">
        <v>0.73521192189999995</v>
      </c>
    </row>
    <row r="1564" spans="1:5" x14ac:dyDescent="0.3">
      <c r="A1564" s="5">
        <v>197</v>
      </c>
      <c r="B1564" s="5" t="s">
        <v>245</v>
      </c>
      <c r="C1564" s="5">
        <v>-2</v>
      </c>
      <c r="D1564" s="9">
        <v>0.01</v>
      </c>
      <c r="E1564" s="6">
        <v>0.76434857479999996</v>
      </c>
    </row>
    <row r="1565" spans="1:5" x14ac:dyDescent="0.3">
      <c r="A1565" s="7">
        <v>197</v>
      </c>
      <c r="B1565" s="7" t="s">
        <v>245</v>
      </c>
      <c r="C1565" s="7">
        <v>-1</v>
      </c>
      <c r="D1565" s="10">
        <v>0.1</v>
      </c>
      <c r="E1565" s="8">
        <v>0.59666087940000001</v>
      </c>
    </row>
    <row r="1566" spans="1:5" x14ac:dyDescent="0.3">
      <c r="A1566" s="5">
        <v>197</v>
      </c>
      <c r="B1566" s="5" t="s">
        <v>245</v>
      </c>
      <c r="C1566" s="5">
        <v>0</v>
      </c>
      <c r="D1566" s="9">
        <v>1</v>
      </c>
      <c r="E1566" s="6">
        <v>0.42147192779999998</v>
      </c>
    </row>
    <row r="1567" spans="1:5" x14ac:dyDescent="0.3">
      <c r="A1567" s="7">
        <v>197</v>
      </c>
      <c r="B1567" s="7" t="s">
        <v>245</v>
      </c>
      <c r="C1567" s="7">
        <v>1</v>
      </c>
      <c r="D1567" s="10">
        <v>10</v>
      </c>
      <c r="E1567" s="8">
        <v>0.39543404739999999</v>
      </c>
    </row>
    <row r="1568" spans="1:5" x14ac:dyDescent="0.3">
      <c r="A1568" s="5">
        <v>197</v>
      </c>
      <c r="B1568" s="5" t="s">
        <v>245</v>
      </c>
      <c r="C1568" s="5">
        <v>2</v>
      </c>
      <c r="D1568" s="9">
        <v>100</v>
      </c>
      <c r="E1568" s="6">
        <v>0.39543404739999999</v>
      </c>
    </row>
    <row r="1569" spans="1:5" x14ac:dyDescent="0.3">
      <c r="A1569" s="7">
        <v>197</v>
      </c>
      <c r="B1569" s="7" t="s">
        <v>245</v>
      </c>
      <c r="C1569" s="7">
        <v>3</v>
      </c>
      <c r="D1569" s="10">
        <v>1000</v>
      </c>
      <c r="E1569" s="8">
        <v>0.39543404739999999</v>
      </c>
    </row>
    <row r="1570" spans="1:5" x14ac:dyDescent="0.3">
      <c r="A1570" s="5">
        <v>198</v>
      </c>
      <c r="B1570" s="5" t="s">
        <v>246</v>
      </c>
      <c r="C1570" s="5">
        <v>-4</v>
      </c>
      <c r="D1570" s="9">
        <v>1E-4</v>
      </c>
      <c r="E1570" s="6">
        <v>0.50450559110000004</v>
      </c>
    </row>
    <row r="1571" spans="1:5" x14ac:dyDescent="0.3">
      <c r="A1571" s="7">
        <v>198</v>
      </c>
      <c r="B1571" s="7" t="s">
        <v>246</v>
      </c>
      <c r="C1571" s="7">
        <v>-3</v>
      </c>
      <c r="D1571" s="10">
        <v>1E-3</v>
      </c>
      <c r="E1571" s="8">
        <v>0.57963705519999997</v>
      </c>
    </row>
    <row r="1572" spans="1:5" x14ac:dyDescent="0.3">
      <c r="A1572" s="5">
        <v>198</v>
      </c>
      <c r="B1572" s="5" t="s">
        <v>246</v>
      </c>
      <c r="C1572" s="5">
        <v>-2</v>
      </c>
      <c r="D1572" s="9">
        <v>0.01</v>
      </c>
      <c r="E1572" s="6">
        <v>0.41639993349999999</v>
      </c>
    </row>
    <row r="1573" spans="1:5" x14ac:dyDescent="0.3">
      <c r="A1573" s="7">
        <v>198</v>
      </c>
      <c r="B1573" s="7" t="s">
        <v>246</v>
      </c>
      <c r="C1573" s="7">
        <v>-1</v>
      </c>
      <c r="D1573" s="10">
        <v>0.1</v>
      </c>
      <c r="E1573" s="8">
        <v>-0.1699254613</v>
      </c>
    </row>
    <row r="1574" spans="1:5" x14ac:dyDescent="0.3">
      <c r="A1574" s="5">
        <v>198</v>
      </c>
      <c r="B1574" s="5" t="s">
        <v>246</v>
      </c>
      <c r="C1574" s="5">
        <v>0</v>
      </c>
      <c r="D1574" s="9">
        <v>1</v>
      </c>
      <c r="E1574" s="6">
        <v>-0.44192103319999998</v>
      </c>
    </row>
    <row r="1575" spans="1:5" x14ac:dyDescent="0.3">
      <c r="A1575" s="7">
        <v>198</v>
      </c>
      <c r="B1575" s="7" t="s">
        <v>246</v>
      </c>
      <c r="C1575" s="7">
        <v>1</v>
      </c>
      <c r="D1575" s="10">
        <v>10</v>
      </c>
      <c r="E1575" s="8">
        <v>-0.48339483389999999</v>
      </c>
    </row>
    <row r="1576" spans="1:5" x14ac:dyDescent="0.3">
      <c r="A1576" s="5">
        <v>198</v>
      </c>
      <c r="B1576" s="5" t="s">
        <v>246</v>
      </c>
      <c r="C1576" s="5">
        <v>2</v>
      </c>
      <c r="D1576" s="9">
        <v>100</v>
      </c>
      <c r="E1576" s="6">
        <v>-0.48339483389999999</v>
      </c>
    </row>
    <row r="1577" spans="1:5" x14ac:dyDescent="0.3">
      <c r="A1577" s="7">
        <v>198</v>
      </c>
      <c r="B1577" s="7" t="s">
        <v>246</v>
      </c>
      <c r="C1577" s="7">
        <v>3</v>
      </c>
      <c r="D1577" s="10">
        <v>1000</v>
      </c>
      <c r="E1577" s="8">
        <v>-0.48339483389999999</v>
      </c>
    </row>
    <row r="1578" spans="1:5" x14ac:dyDescent="0.3">
      <c r="A1578" s="5">
        <v>199</v>
      </c>
      <c r="B1578" s="5" t="s">
        <v>247</v>
      </c>
      <c r="C1578" s="5">
        <v>-4</v>
      </c>
      <c r="D1578" s="9">
        <v>1E-4</v>
      </c>
      <c r="E1578" s="6">
        <v>0.53814702000000003</v>
      </c>
    </row>
    <row r="1579" spans="1:5" x14ac:dyDescent="0.3">
      <c r="A1579" s="7">
        <v>199</v>
      </c>
      <c r="B1579" s="7" t="s">
        <v>247</v>
      </c>
      <c r="C1579" s="7">
        <v>-3</v>
      </c>
      <c r="D1579" s="10">
        <v>1E-3</v>
      </c>
      <c r="E1579" s="8">
        <v>0.65954037840000002</v>
      </c>
    </row>
    <row r="1580" spans="1:5" x14ac:dyDescent="0.3">
      <c r="A1580" s="5">
        <v>199</v>
      </c>
      <c r="B1580" s="5" t="s">
        <v>247</v>
      </c>
      <c r="C1580" s="5">
        <v>-2</v>
      </c>
      <c r="D1580" s="9">
        <v>0.01</v>
      </c>
      <c r="E1580" s="6">
        <v>0.88782778279999996</v>
      </c>
    </row>
    <row r="1581" spans="1:5" x14ac:dyDescent="0.3">
      <c r="A1581" s="7">
        <v>199</v>
      </c>
      <c r="B1581" s="7" t="s">
        <v>247</v>
      </c>
      <c r="C1581" s="7">
        <v>-1</v>
      </c>
      <c r="D1581" s="10">
        <v>0.1</v>
      </c>
      <c r="E1581" s="8">
        <v>0.77308991419999995</v>
      </c>
    </row>
    <row r="1582" spans="1:5" x14ac:dyDescent="0.3">
      <c r="A1582" s="5">
        <v>199</v>
      </c>
      <c r="B1582" s="5" t="s">
        <v>247</v>
      </c>
      <c r="C1582" s="5">
        <v>0</v>
      </c>
      <c r="D1582" s="9">
        <v>1</v>
      </c>
      <c r="E1582" s="6">
        <v>0.56809513290000002</v>
      </c>
    </row>
    <row r="1583" spans="1:5" x14ac:dyDescent="0.3">
      <c r="A1583" s="7">
        <v>199</v>
      </c>
      <c r="B1583" s="7" t="s">
        <v>247</v>
      </c>
      <c r="C1583" s="7">
        <v>1</v>
      </c>
      <c r="D1583" s="10">
        <v>10</v>
      </c>
      <c r="E1583" s="8">
        <v>0.54999415760000003</v>
      </c>
    </row>
    <row r="1584" spans="1:5" x14ac:dyDescent="0.3">
      <c r="A1584" s="5">
        <v>199</v>
      </c>
      <c r="B1584" s="5" t="s">
        <v>247</v>
      </c>
      <c r="C1584" s="5">
        <v>2</v>
      </c>
      <c r="D1584" s="9">
        <v>100</v>
      </c>
      <c r="E1584" s="6">
        <v>0.54881477940000001</v>
      </c>
    </row>
    <row r="1585" spans="1:5" x14ac:dyDescent="0.3">
      <c r="A1585" s="7">
        <v>199</v>
      </c>
      <c r="B1585" s="7" t="s">
        <v>247</v>
      </c>
      <c r="C1585" s="7">
        <v>3</v>
      </c>
      <c r="D1585" s="10">
        <v>1000</v>
      </c>
      <c r="E1585" s="8">
        <v>0.54971570780000001</v>
      </c>
    </row>
    <row r="1586" spans="1:5" x14ac:dyDescent="0.3">
      <c r="A1586" s="5">
        <v>200</v>
      </c>
      <c r="B1586" s="5" t="s">
        <v>248</v>
      </c>
      <c r="C1586" s="5">
        <v>-4</v>
      </c>
      <c r="D1586" s="9">
        <v>1E-4</v>
      </c>
      <c r="E1586" s="6">
        <v>0.49809651459999998</v>
      </c>
    </row>
    <row r="1587" spans="1:5" x14ac:dyDescent="0.3">
      <c r="A1587" s="7">
        <v>200</v>
      </c>
      <c r="B1587" s="7" t="s">
        <v>248</v>
      </c>
      <c r="C1587" s="7">
        <v>-3</v>
      </c>
      <c r="D1587" s="10">
        <v>1E-3</v>
      </c>
      <c r="E1587" s="8">
        <v>0.57271537699999997</v>
      </c>
    </row>
    <row r="1588" spans="1:5" x14ac:dyDescent="0.3">
      <c r="A1588" s="5">
        <v>200</v>
      </c>
      <c r="B1588" s="5" t="s">
        <v>248</v>
      </c>
      <c r="C1588" s="5">
        <v>-2</v>
      </c>
      <c r="D1588" s="9">
        <v>0.01</v>
      </c>
      <c r="E1588" s="6">
        <v>0.88241132680000001</v>
      </c>
    </row>
    <row r="1589" spans="1:5" x14ac:dyDescent="0.3">
      <c r="A1589" s="7">
        <v>200</v>
      </c>
      <c r="B1589" s="7" t="s">
        <v>248</v>
      </c>
      <c r="C1589" s="7">
        <v>-1</v>
      </c>
      <c r="D1589" s="10">
        <v>0.1</v>
      </c>
      <c r="E1589" s="8">
        <v>0.79261057229999998</v>
      </c>
    </row>
    <row r="1590" spans="1:5" x14ac:dyDescent="0.3">
      <c r="A1590" s="5">
        <v>200</v>
      </c>
      <c r="B1590" s="5" t="s">
        <v>248</v>
      </c>
      <c r="C1590" s="5">
        <v>0</v>
      </c>
      <c r="D1590" s="9">
        <v>1</v>
      </c>
      <c r="E1590" s="6">
        <v>0.60397971110000004</v>
      </c>
    </row>
    <row r="1591" spans="1:5" x14ac:dyDescent="0.3">
      <c r="A1591" s="7">
        <v>200</v>
      </c>
      <c r="B1591" s="7" t="s">
        <v>248</v>
      </c>
      <c r="C1591" s="7">
        <v>1</v>
      </c>
      <c r="D1591" s="10">
        <v>10</v>
      </c>
      <c r="E1591" s="8">
        <v>0.5798893517</v>
      </c>
    </row>
    <row r="1592" spans="1:5" x14ac:dyDescent="0.3">
      <c r="A1592" s="5">
        <v>200</v>
      </c>
      <c r="B1592" s="5" t="s">
        <v>248</v>
      </c>
      <c r="C1592" s="5">
        <v>2</v>
      </c>
      <c r="D1592" s="9">
        <v>100</v>
      </c>
      <c r="E1592" s="6">
        <v>0.58665430370000005</v>
      </c>
    </row>
    <row r="1593" spans="1:5" x14ac:dyDescent="0.3">
      <c r="A1593" s="7">
        <v>200</v>
      </c>
      <c r="B1593" s="7" t="s">
        <v>248</v>
      </c>
      <c r="C1593" s="7">
        <v>3</v>
      </c>
      <c r="D1593" s="10">
        <v>1000</v>
      </c>
      <c r="E1593" s="8">
        <v>0.58473979549999999</v>
      </c>
    </row>
    <row r="1594" spans="1:5" x14ac:dyDescent="0.3">
      <c r="A1594" s="5">
        <v>201</v>
      </c>
      <c r="B1594" s="5" t="s">
        <v>249</v>
      </c>
      <c r="C1594" s="5">
        <v>-4</v>
      </c>
      <c r="D1594" s="9">
        <v>1E-4</v>
      </c>
      <c r="E1594" s="6">
        <v>0.25939663619999997</v>
      </c>
    </row>
    <row r="1595" spans="1:5" x14ac:dyDescent="0.3">
      <c r="A1595" s="7">
        <v>201</v>
      </c>
      <c r="B1595" s="7" t="s">
        <v>249</v>
      </c>
      <c r="C1595" s="7">
        <v>-3</v>
      </c>
      <c r="D1595" s="10">
        <v>1E-3</v>
      </c>
      <c r="E1595" s="8">
        <v>0.35167062799999999</v>
      </c>
    </row>
    <row r="1596" spans="1:5" x14ac:dyDescent="0.3">
      <c r="A1596" s="5">
        <v>201</v>
      </c>
      <c r="B1596" s="5" t="s">
        <v>249</v>
      </c>
      <c r="C1596" s="5">
        <v>-2</v>
      </c>
      <c r="D1596" s="9">
        <v>0.01</v>
      </c>
      <c r="E1596" s="6">
        <v>0.63270987509999999</v>
      </c>
    </row>
    <row r="1597" spans="1:5" x14ac:dyDescent="0.3">
      <c r="A1597" s="7">
        <v>201</v>
      </c>
      <c r="B1597" s="7" t="s">
        <v>249</v>
      </c>
      <c r="C1597" s="7">
        <v>-1</v>
      </c>
      <c r="D1597" s="10">
        <v>0.1</v>
      </c>
      <c r="E1597" s="8">
        <v>0.93248306579999996</v>
      </c>
    </row>
    <row r="1598" spans="1:5" x14ac:dyDescent="0.3">
      <c r="A1598" s="5">
        <v>201</v>
      </c>
      <c r="B1598" s="5" t="s">
        <v>249</v>
      </c>
      <c r="C1598" s="5">
        <v>0</v>
      </c>
      <c r="D1598" s="9">
        <v>1</v>
      </c>
      <c r="E1598" s="6">
        <v>0.72762352939999997</v>
      </c>
    </row>
    <row r="1599" spans="1:5" x14ac:dyDescent="0.3">
      <c r="A1599" s="7">
        <v>201</v>
      </c>
      <c r="B1599" s="7" t="s">
        <v>249</v>
      </c>
      <c r="C1599" s="7">
        <v>1</v>
      </c>
      <c r="D1599" s="10">
        <v>10</v>
      </c>
      <c r="E1599" s="8">
        <v>0.65712982750000004</v>
      </c>
    </row>
    <row r="1600" spans="1:5" x14ac:dyDescent="0.3">
      <c r="A1600" s="5">
        <v>201</v>
      </c>
      <c r="B1600" s="5" t="s">
        <v>249</v>
      </c>
      <c r="C1600" s="5">
        <v>2</v>
      </c>
      <c r="D1600" s="9">
        <v>100</v>
      </c>
      <c r="E1600" s="6">
        <v>0.6542021146</v>
      </c>
    </row>
    <row r="1601" spans="1:5" x14ac:dyDescent="0.3">
      <c r="A1601" s="7">
        <v>201</v>
      </c>
      <c r="B1601" s="7" t="s">
        <v>249</v>
      </c>
      <c r="C1601" s="7">
        <v>3</v>
      </c>
      <c r="D1601" s="10">
        <v>1000</v>
      </c>
      <c r="E1601" s="8">
        <v>0.66091079580000001</v>
      </c>
    </row>
    <row r="1602" spans="1:5" x14ac:dyDescent="0.3">
      <c r="A1602" s="5">
        <v>202</v>
      </c>
      <c r="B1602" s="5" t="s">
        <v>250</v>
      </c>
      <c r="C1602" s="5">
        <v>-4</v>
      </c>
      <c r="D1602" s="9">
        <v>1E-4</v>
      </c>
      <c r="E1602" s="6">
        <v>0.4330370274</v>
      </c>
    </row>
    <row r="1603" spans="1:5" x14ac:dyDescent="0.3">
      <c r="A1603" s="7">
        <v>202</v>
      </c>
      <c r="B1603" s="7" t="s">
        <v>250</v>
      </c>
      <c r="C1603" s="7">
        <v>-3</v>
      </c>
      <c r="D1603" s="10">
        <v>1E-3</v>
      </c>
      <c r="E1603" s="8">
        <v>0.64264616900000004</v>
      </c>
    </row>
    <row r="1604" spans="1:5" x14ac:dyDescent="0.3">
      <c r="A1604" s="5">
        <v>202</v>
      </c>
      <c r="B1604" s="5" t="s">
        <v>250</v>
      </c>
      <c r="C1604" s="5">
        <v>-2</v>
      </c>
      <c r="D1604" s="9">
        <v>0.01</v>
      </c>
      <c r="E1604" s="6">
        <v>0.64750833679999997</v>
      </c>
    </row>
    <row r="1605" spans="1:5" x14ac:dyDescent="0.3">
      <c r="A1605" s="7">
        <v>202</v>
      </c>
      <c r="B1605" s="7" t="s">
        <v>250</v>
      </c>
      <c r="C1605" s="7">
        <v>-1</v>
      </c>
      <c r="D1605" s="10">
        <v>0.1</v>
      </c>
      <c r="E1605" s="8">
        <v>9.9324952999999994E-2</v>
      </c>
    </row>
    <row r="1606" spans="1:5" x14ac:dyDescent="0.3">
      <c r="A1606" s="5">
        <v>202</v>
      </c>
      <c r="B1606" s="5" t="s">
        <v>250</v>
      </c>
      <c r="C1606" s="5">
        <v>0</v>
      </c>
      <c r="D1606" s="9">
        <v>1</v>
      </c>
      <c r="E1606" s="6">
        <v>-0.1323609546</v>
      </c>
    </row>
    <row r="1607" spans="1:5" x14ac:dyDescent="0.3">
      <c r="A1607" s="7">
        <v>202</v>
      </c>
      <c r="B1607" s="7" t="s">
        <v>250</v>
      </c>
      <c r="C1607" s="7">
        <v>1</v>
      </c>
      <c r="D1607" s="10">
        <v>10</v>
      </c>
      <c r="E1607" s="8">
        <v>-0.15645276299999999</v>
      </c>
    </row>
    <row r="1608" spans="1:5" x14ac:dyDescent="0.3">
      <c r="A1608" s="5">
        <v>202</v>
      </c>
      <c r="B1608" s="5" t="s">
        <v>250</v>
      </c>
      <c r="C1608" s="5">
        <v>2</v>
      </c>
      <c r="D1608" s="9">
        <v>100</v>
      </c>
      <c r="E1608" s="6">
        <v>-0.15537469179999999</v>
      </c>
    </row>
    <row r="1609" spans="1:5" x14ac:dyDescent="0.3">
      <c r="A1609" s="7">
        <v>202</v>
      </c>
      <c r="B1609" s="7" t="s">
        <v>250</v>
      </c>
      <c r="C1609" s="7">
        <v>3</v>
      </c>
      <c r="D1609" s="10">
        <v>1000</v>
      </c>
      <c r="E1609" s="8">
        <v>-0.15503296</v>
      </c>
    </row>
    <row r="1610" spans="1:5" x14ac:dyDescent="0.3">
      <c r="A1610" s="5">
        <v>203</v>
      </c>
      <c r="B1610" s="5" t="s">
        <v>251</v>
      </c>
      <c r="C1610" s="5">
        <v>-4</v>
      </c>
      <c r="D1610" s="9">
        <v>1E-4</v>
      </c>
      <c r="E1610" s="6">
        <v>0.73871854660000003</v>
      </c>
    </row>
    <row r="1611" spans="1:5" x14ac:dyDescent="0.3">
      <c r="A1611" s="7">
        <v>203</v>
      </c>
      <c r="B1611" s="7" t="s">
        <v>251</v>
      </c>
      <c r="C1611" s="7">
        <v>-3</v>
      </c>
      <c r="D1611" s="10">
        <v>1E-3</v>
      </c>
      <c r="E1611" s="8">
        <v>0.76677169199999995</v>
      </c>
    </row>
    <row r="1612" spans="1:5" x14ac:dyDescent="0.3">
      <c r="A1612" s="5">
        <v>203</v>
      </c>
      <c r="B1612" s="5" t="s">
        <v>251</v>
      </c>
      <c r="C1612" s="5">
        <v>-2</v>
      </c>
      <c r="D1612" s="9">
        <v>0.01</v>
      </c>
      <c r="E1612" s="6">
        <v>0.82283378380000005</v>
      </c>
    </row>
    <row r="1613" spans="1:5" x14ac:dyDescent="0.3">
      <c r="A1613" s="7">
        <v>203</v>
      </c>
      <c r="B1613" s="7" t="s">
        <v>251</v>
      </c>
      <c r="C1613" s="7">
        <v>-1</v>
      </c>
      <c r="D1613" s="10">
        <v>0.1</v>
      </c>
      <c r="E1613" s="8">
        <v>0.81399214659999997</v>
      </c>
    </row>
    <row r="1614" spans="1:5" x14ac:dyDescent="0.3">
      <c r="A1614" s="5">
        <v>203</v>
      </c>
      <c r="B1614" s="5" t="s">
        <v>251</v>
      </c>
      <c r="C1614" s="5">
        <v>0</v>
      </c>
      <c r="D1614" s="9">
        <v>1</v>
      </c>
      <c r="E1614" s="6">
        <v>0.58779268289999997</v>
      </c>
    </row>
    <row r="1615" spans="1:5" x14ac:dyDescent="0.3">
      <c r="A1615" s="7">
        <v>203</v>
      </c>
      <c r="B1615" s="7" t="s">
        <v>251</v>
      </c>
      <c r="C1615" s="7">
        <v>1</v>
      </c>
      <c r="D1615" s="10">
        <v>10</v>
      </c>
      <c r="E1615" s="8">
        <v>0.56097560980000005</v>
      </c>
    </row>
    <row r="1616" spans="1:5" x14ac:dyDescent="0.3">
      <c r="A1616" s="5">
        <v>203</v>
      </c>
      <c r="B1616" s="5" t="s">
        <v>251</v>
      </c>
      <c r="C1616" s="5">
        <v>2</v>
      </c>
      <c r="D1616" s="9">
        <v>100</v>
      </c>
      <c r="E1616" s="6">
        <v>0.56097560980000005</v>
      </c>
    </row>
    <row r="1617" spans="1:5" x14ac:dyDescent="0.3">
      <c r="A1617" s="7">
        <v>203</v>
      </c>
      <c r="B1617" s="7" t="s">
        <v>251</v>
      </c>
      <c r="C1617" s="7">
        <v>3</v>
      </c>
      <c r="D1617" s="10">
        <v>1000</v>
      </c>
      <c r="E1617" s="8">
        <v>0.56097560980000005</v>
      </c>
    </row>
    <row r="1618" spans="1:5" x14ac:dyDescent="0.3">
      <c r="A1618" s="5">
        <v>204</v>
      </c>
      <c r="B1618" s="5" t="s">
        <v>252</v>
      </c>
      <c r="C1618" s="5">
        <v>-4</v>
      </c>
      <c r="D1618" s="9">
        <v>1E-4</v>
      </c>
      <c r="E1618" s="6">
        <v>0.49036241559999999</v>
      </c>
    </row>
    <row r="1619" spans="1:5" x14ac:dyDescent="0.3">
      <c r="A1619" s="7">
        <v>204</v>
      </c>
      <c r="B1619" s="7" t="s">
        <v>252</v>
      </c>
      <c r="C1619" s="7">
        <v>-3</v>
      </c>
      <c r="D1619" s="10">
        <v>1E-3</v>
      </c>
      <c r="E1619" s="8">
        <v>0.73714381169999998</v>
      </c>
    </row>
    <row r="1620" spans="1:5" x14ac:dyDescent="0.3">
      <c r="A1620" s="5">
        <v>204</v>
      </c>
      <c r="B1620" s="5" t="s">
        <v>252</v>
      </c>
      <c r="C1620" s="5">
        <v>-2</v>
      </c>
      <c r="D1620" s="9">
        <v>0.01</v>
      </c>
      <c r="E1620" s="6">
        <v>0.71681821000000001</v>
      </c>
    </row>
    <row r="1621" spans="1:5" x14ac:dyDescent="0.3">
      <c r="A1621" s="7">
        <v>204</v>
      </c>
      <c r="B1621" s="7" t="s">
        <v>252</v>
      </c>
      <c r="C1621" s="7">
        <v>-1</v>
      </c>
      <c r="D1621" s="10">
        <v>0.1</v>
      </c>
      <c r="E1621" s="8">
        <v>0.2383285104</v>
      </c>
    </row>
    <row r="1622" spans="1:5" x14ac:dyDescent="0.3">
      <c r="A1622" s="5">
        <v>204</v>
      </c>
      <c r="B1622" s="5" t="s">
        <v>252</v>
      </c>
      <c r="C1622" s="5">
        <v>0</v>
      </c>
      <c r="D1622" s="9">
        <v>1</v>
      </c>
      <c r="E1622" s="6">
        <v>5.9802024500000002E-2</v>
      </c>
    </row>
    <row r="1623" spans="1:5" x14ac:dyDescent="0.3">
      <c r="A1623" s="7">
        <v>204</v>
      </c>
      <c r="B1623" s="7" t="s">
        <v>252</v>
      </c>
      <c r="C1623" s="7">
        <v>1</v>
      </c>
      <c r="D1623" s="10">
        <v>10</v>
      </c>
      <c r="E1623" s="8">
        <v>3.9409363099999997E-2</v>
      </c>
    </row>
    <row r="1624" spans="1:5" x14ac:dyDescent="0.3">
      <c r="A1624" s="5">
        <v>204</v>
      </c>
      <c r="B1624" s="5" t="s">
        <v>252</v>
      </c>
      <c r="C1624" s="5">
        <v>2</v>
      </c>
      <c r="D1624" s="9">
        <v>100</v>
      </c>
      <c r="E1624" s="6">
        <v>4.1144346499999998E-2</v>
      </c>
    </row>
    <row r="1625" spans="1:5" x14ac:dyDescent="0.3">
      <c r="A1625" s="7">
        <v>204</v>
      </c>
      <c r="B1625" s="7" t="s">
        <v>252</v>
      </c>
      <c r="C1625" s="7">
        <v>3</v>
      </c>
      <c r="D1625" s="10">
        <v>1000</v>
      </c>
      <c r="E1625" s="8">
        <v>3.8283634699999999E-2</v>
      </c>
    </row>
    <row r="1626" spans="1:5" x14ac:dyDescent="0.3">
      <c r="A1626" s="5">
        <v>205</v>
      </c>
      <c r="B1626" s="5" t="s">
        <v>253</v>
      </c>
      <c r="C1626" s="5">
        <v>-4</v>
      </c>
      <c r="D1626" s="9">
        <v>1E-4</v>
      </c>
      <c r="E1626" s="6">
        <v>0.67887308759999998</v>
      </c>
    </row>
    <row r="1627" spans="1:5" x14ac:dyDescent="0.3">
      <c r="A1627" s="7">
        <v>205</v>
      </c>
      <c r="B1627" s="7" t="s">
        <v>253</v>
      </c>
      <c r="C1627" s="7">
        <v>-3</v>
      </c>
      <c r="D1627" s="10">
        <v>1E-3</v>
      </c>
      <c r="E1627" s="8">
        <v>0.75189433019999996</v>
      </c>
    </row>
    <row r="1628" spans="1:5" x14ac:dyDescent="0.3">
      <c r="A1628" s="5">
        <v>205</v>
      </c>
      <c r="B1628" s="5" t="s">
        <v>253</v>
      </c>
      <c r="C1628" s="5">
        <v>-2</v>
      </c>
      <c r="D1628" s="9">
        <v>0.01</v>
      </c>
      <c r="E1628" s="6">
        <v>0.71616689680000001</v>
      </c>
    </row>
    <row r="1629" spans="1:5" x14ac:dyDescent="0.3">
      <c r="A1629" s="7">
        <v>205</v>
      </c>
      <c r="B1629" s="7" t="s">
        <v>253</v>
      </c>
      <c r="C1629" s="7">
        <v>-1</v>
      </c>
      <c r="D1629" s="10">
        <v>0.1</v>
      </c>
      <c r="E1629" s="8">
        <v>0.43227446460000002</v>
      </c>
    </row>
    <row r="1630" spans="1:5" x14ac:dyDescent="0.3">
      <c r="A1630" s="5">
        <v>205</v>
      </c>
      <c r="B1630" s="5" t="s">
        <v>253</v>
      </c>
      <c r="C1630" s="5">
        <v>0</v>
      </c>
      <c r="D1630" s="9">
        <v>1</v>
      </c>
      <c r="E1630" s="6">
        <v>0.31953770199999998</v>
      </c>
    </row>
    <row r="1631" spans="1:5" x14ac:dyDescent="0.3">
      <c r="A1631" s="7">
        <v>205</v>
      </c>
      <c r="B1631" s="7" t="s">
        <v>253</v>
      </c>
      <c r="C1631" s="7">
        <v>1</v>
      </c>
      <c r="D1631" s="10">
        <v>10</v>
      </c>
      <c r="E1631" s="8">
        <v>0.30961453259999999</v>
      </c>
    </row>
    <row r="1632" spans="1:5" x14ac:dyDescent="0.3">
      <c r="A1632" s="5">
        <v>205</v>
      </c>
      <c r="B1632" s="5" t="s">
        <v>253</v>
      </c>
      <c r="C1632" s="5">
        <v>2</v>
      </c>
      <c r="D1632" s="9">
        <v>100</v>
      </c>
      <c r="E1632" s="6">
        <v>0.30961453259999999</v>
      </c>
    </row>
    <row r="1633" spans="1:5" x14ac:dyDescent="0.3">
      <c r="A1633" s="7">
        <v>205</v>
      </c>
      <c r="B1633" s="7" t="s">
        <v>253</v>
      </c>
      <c r="C1633" s="7">
        <v>3</v>
      </c>
      <c r="D1633" s="10">
        <v>1000</v>
      </c>
      <c r="E1633" s="8">
        <v>0.30961453259999999</v>
      </c>
    </row>
    <row r="1634" spans="1:5" x14ac:dyDescent="0.3">
      <c r="A1634" s="5">
        <v>206</v>
      </c>
      <c r="B1634" s="5" t="s">
        <v>254</v>
      </c>
      <c r="C1634" s="5">
        <v>-4</v>
      </c>
      <c r="D1634" s="9">
        <v>1E-4</v>
      </c>
      <c r="E1634" s="6">
        <v>0.46997483709999999</v>
      </c>
    </row>
    <row r="1635" spans="1:5" x14ac:dyDescent="0.3">
      <c r="A1635" s="7">
        <v>206</v>
      </c>
      <c r="B1635" s="7" t="s">
        <v>254</v>
      </c>
      <c r="C1635" s="7">
        <v>-3</v>
      </c>
      <c r="D1635" s="10">
        <v>1E-3</v>
      </c>
      <c r="E1635" s="8">
        <v>0.64827551319999999</v>
      </c>
    </row>
    <row r="1636" spans="1:5" x14ac:dyDescent="0.3">
      <c r="A1636" s="5">
        <v>206</v>
      </c>
      <c r="B1636" s="5" t="s">
        <v>254</v>
      </c>
      <c r="C1636" s="5">
        <v>-2</v>
      </c>
      <c r="D1636" s="9">
        <v>0.01</v>
      </c>
      <c r="E1636" s="6">
        <v>0.83100816710000003</v>
      </c>
    </row>
    <row r="1637" spans="1:5" x14ac:dyDescent="0.3">
      <c r="A1637" s="7">
        <v>206</v>
      </c>
      <c r="B1637" s="7" t="s">
        <v>254</v>
      </c>
      <c r="C1637" s="7">
        <v>-1</v>
      </c>
      <c r="D1637" s="10">
        <v>0.1</v>
      </c>
      <c r="E1637" s="8">
        <v>0.41341426860000002</v>
      </c>
    </row>
    <row r="1638" spans="1:5" x14ac:dyDescent="0.3">
      <c r="A1638" s="5">
        <v>206</v>
      </c>
      <c r="B1638" s="5" t="s">
        <v>254</v>
      </c>
      <c r="C1638" s="5">
        <v>0</v>
      </c>
      <c r="D1638" s="9">
        <v>1</v>
      </c>
      <c r="E1638" s="6">
        <v>0.17792908609999999</v>
      </c>
    </row>
    <row r="1639" spans="1:5" x14ac:dyDescent="0.3">
      <c r="A1639" s="7">
        <v>206</v>
      </c>
      <c r="B1639" s="7" t="s">
        <v>254</v>
      </c>
      <c r="C1639" s="7">
        <v>1</v>
      </c>
      <c r="D1639" s="10">
        <v>10</v>
      </c>
      <c r="E1639" s="8">
        <v>0.15958316519999999</v>
      </c>
    </row>
    <row r="1640" spans="1:5" x14ac:dyDescent="0.3">
      <c r="A1640" s="5">
        <v>206</v>
      </c>
      <c r="B1640" s="5" t="s">
        <v>254</v>
      </c>
      <c r="C1640" s="5">
        <v>2</v>
      </c>
      <c r="D1640" s="9">
        <v>100</v>
      </c>
      <c r="E1640" s="6">
        <v>0.1620644135</v>
      </c>
    </row>
    <row r="1641" spans="1:5" x14ac:dyDescent="0.3">
      <c r="A1641" s="7">
        <v>206</v>
      </c>
      <c r="B1641" s="7" t="s">
        <v>254</v>
      </c>
      <c r="C1641" s="7">
        <v>3</v>
      </c>
      <c r="D1641" s="10">
        <v>1000</v>
      </c>
      <c r="E1641" s="8">
        <v>0.16141932919999999</v>
      </c>
    </row>
    <row r="1642" spans="1:5" x14ac:dyDescent="0.3">
      <c r="A1642" s="5">
        <v>207</v>
      </c>
      <c r="B1642" s="5" t="s">
        <v>255</v>
      </c>
      <c r="C1642" s="5">
        <v>-4</v>
      </c>
      <c r="D1642" s="9">
        <v>1E-4</v>
      </c>
      <c r="E1642" s="6">
        <v>0.61033729810000004</v>
      </c>
    </row>
    <row r="1643" spans="1:5" x14ac:dyDescent="0.3">
      <c r="A1643" s="7">
        <v>207</v>
      </c>
      <c r="B1643" s="7" t="s">
        <v>255</v>
      </c>
      <c r="C1643" s="7">
        <v>-3</v>
      </c>
      <c r="D1643" s="10">
        <v>1E-3</v>
      </c>
      <c r="E1643" s="8">
        <v>0.78209180170000003</v>
      </c>
    </row>
    <row r="1644" spans="1:5" x14ac:dyDescent="0.3">
      <c r="A1644" s="5">
        <v>207</v>
      </c>
      <c r="B1644" s="5" t="s">
        <v>255</v>
      </c>
      <c r="C1644" s="5">
        <v>-2</v>
      </c>
      <c r="D1644" s="9">
        <v>0.01</v>
      </c>
      <c r="E1644" s="6">
        <v>0.84846193130000003</v>
      </c>
    </row>
    <row r="1645" spans="1:5" x14ac:dyDescent="0.3">
      <c r="A1645" s="7">
        <v>207</v>
      </c>
      <c r="B1645" s="7" t="s">
        <v>255</v>
      </c>
      <c r="C1645" s="7">
        <v>-1</v>
      </c>
      <c r="D1645" s="10">
        <v>0.1</v>
      </c>
      <c r="E1645" s="8">
        <v>0.55853495210000004</v>
      </c>
    </row>
    <row r="1646" spans="1:5" x14ac:dyDescent="0.3">
      <c r="A1646" s="5">
        <v>207</v>
      </c>
      <c r="B1646" s="5" t="s">
        <v>255</v>
      </c>
      <c r="C1646" s="5">
        <v>0</v>
      </c>
      <c r="D1646" s="9">
        <v>1</v>
      </c>
      <c r="E1646" s="6">
        <v>0.35683550390000002</v>
      </c>
    </row>
    <row r="1647" spans="1:5" x14ac:dyDescent="0.3">
      <c r="A1647" s="7">
        <v>207</v>
      </c>
      <c r="B1647" s="7" t="s">
        <v>255</v>
      </c>
      <c r="C1647" s="7">
        <v>1</v>
      </c>
      <c r="D1647" s="10">
        <v>10</v>
      </c>
      <c r="E1647" s="8">
        <v>0.31616697069999999</v>
      </c>
    </row>
    <row r="1648" spans="1:5" x14ac:dyDescent="0.3">
      <c r="A1648" s="5">
        <v>207</v>
      </c>
      <c r="B1648" s="5" t="s">
        <v>255</v>
      </c>
      <c r="C1648" s="5">
        <v>2</v>
      </c>
      <c r="D1648" s="9">
        <v>100</v>
      </c>
      <c r="E1648" s="6">
        <v>0.31623760670000001</v>
      </c>
    </row>
    <row r="1649" spans="1:5" x14ac:dyDescent="0.3">
      <c r="A1649" s="7">
        <v>207</v>
      </c>
      <c r="B1649" s="7" t="s">
        <v>255</v>
      </c>
      <c r="C1649" s="7">
        <v>3</v>
      </c>
      <c r="D1649" s="10">
        <v>1000</v>
      </c>
      <c r="E1649" s="8">
        <v>0.31594539649999998</v>
      </c>
    </row>
    <row r="1650" spans="1:5" x14ac:dyDescent="0.3">
      <c r="A1650" s="5">
        <v>208</v>
      </c>
      <c r="B1650" s="5" t="s">
        <v>256</v>
      </c>
      <c r="C1650" s="5">
        <v>-4</v>
      </c>
      <c r="D1650" s="9">
        <v>1E-4</v>
      </c>
      <c r="E1650" s="6">
        <v>0.61555734949999996</v>
      </c>
    </row>
    <row r="1651" spans="1:5" x14ac:dyDescent="0.3">
      <c r="A1651" s="7">
        <v>208</v>
      </c>
      <c r="B1651" s="7" t="s">
        <v>256</v>
      </c>
      <c r="C1651" s="7">
        <v>-3</v>
      </c>
      <c r="D1651" s="10">
        <v>1E-3</v>
      </c>
      <c r="E1651" s="8">
        <v>0.75024845770000004</v>
      </c>
    </row>
    <row r="1652" spans="1:5" x14ac:dyDescent="0.3">
      <c r="A1652" s="5">
        <v>208</v>
      </c>
      <c r="B1652" s="5" t="s">
        <v>256</v>
      </c>
      <c r="C1652" s="5">
        <v>-2</v>
      </c>
      <c r="D1652" s="9">
        <v>0.01</v>
      </c>
      <c r="E1652" s="6">
        <v>0.8801004872</v>
      </c>
    </row>
    <row r="1653" spans="1:5" x14ac:dyDescent="0.3">
      <c r="A1653" s="7">
        <v>208</v>
      </c>
      <c r="B1653" s="7" t="s">
        <v>256</v>
      </c>
      <c r="C1653" s="7">
        <v>-1</v>
      </c>
      <c r="D1653" s="10">
        <v>0.1</v>
      </c>
      <c r="E1653" s="8">
        <v>0.74461022850000003</v>
      </c>
    </row>
    <row r="1654" spans="1:5" x14ac:dyDescent="0.3">
      <c r="A1654" s="5">
        <v>208</v>
      </c>
      <c r="B1654" s="5" t="s">
        <v>256</v>
      </c>
      <c r="C1654" s="5">
        <v>0</v>
      </c>
      <c r="D1654" s="9">
        <v>1</v>
      </c>
      <c r="E1654" s="6">
        <v>0.3993579397</v>
      </c>
    </row>
    <row r="1655" spans="1:5" x14ac:dyDescent="0.3">
      <c r="A1655" s="7">
        <v>208</v>
      </c>
      <c r="B1655" s="7" t="s">
        <v>256</v>
      </c>
      <c r="C1655" s="7">
        <v>1</v>
      </c>
      <c r="D1655" s="10">
        <v>10</v>
      </c>
      <c r="E1655" s="8">
        <v>0.3721597841</v>
      </c>
    </row>
    <row r="1656" spans="1:5" x14ac:dyDescent="0.3">
      <c r="A1656" s="5">
        <v>208</v>
      </c>
      <c r="B1656" s="5" t="s">
        <v>256</v>
      </c>
      <c r="C1656" s="5">
        <v>2</v>
      </c>
      <c r="D1656" s="9">
        <v>100</v>
      </c>
      <c r="E1656" s="6">
        <v>0.37579131799999999</v>
      </c>
    </row>
    <row r="1657" spans="1:5" x14ac:dyDescent="0.3">
      <c r="A1657" s="7">
        <v>208</v>
      </c>
      <c r="B1657" s="7" t="s">
        <v>256</v>
      </c>
      <c r="C1657" s="7">
        <v>3</v>
      </c>
      <c r="D1657" s="10">
        <v>1000</v>
      </c>
      <c r="E1657" s="8">
        <v>0.372605623</v>
      </c>
    </row>
    <row r="1658" spans="1:5" x14ac:dyDescent="0.3">
      <c r="A1658" s="5">
        <v>209</v>
      </c>
      <c r="B1658" s="5" t="s">
        <v>257</v>
      </c>
      <c r="C1658" s="5">
        <v>-4</v>
      </c>
      <c r="D1658" s="9">
        <v>1E-4</v>
      </c>
      <c r="E1658" s="6">
        <v>0.31593507970000001</v>
      </c>
    </row>
    <row r="1659" spans="1:5" x14ac:dyDescent="0.3">
      <c r="A1659" s="7">
        <v>209</v>
      </c>
      <c r="B1659" s="7" t="s">
        <v>257</v>
      </c>
      <c r="C1659" s="7">
        <v>-3</v>
      </c>
      <c r="D1659" s="10">
        <v>1E-3</v>
      </c>
      <c r="E1659" s="8">
        <v>0.53099150439999998</v>
      </c>
    </row>
    <row r="1660" spans="1:5" x14ac:dyDescent="0.3">
      <c r="A1660" s="5">
        <v>209</v>
      </c>
      <c r="B1660" s="5" t="s">
        <v>257</v>
      </c>
      <c r="C1660" s="5">
        <v>-2</v>
      </c>
      <c r="D1660" s="9">
        <v>0.01</v>
      </c>
      <c r="E1660" s="6">
        <v>0.89641372379999995</v>
      </c>
    </row>
    <row r="1661" spans="1:5" x14ac:dyDescent="0.3">
      <c r="A1661" s="7">
        <v>209</v>
      </c>
      <c r="B1661" s="7" t="s">
        <v>257</v>
      </c>
      <c r="C1661" s="7">
        <v>-1</v>
      </c>
      <c r="D1661" s="10">
        <v>0.1</v>
      </c>
      <c r="E1661" s="8">
        <v>0.83528949399999997</v>
      </c>
    </row>
    <row r="1662" spans="1:5" x14ac:dyDescent="0.3">
      <c r="A1662" s="5">
        <v>209</v>
      </c>
      <c r="B1662" s="5" t="s">
        <v>257</v>
      </c>
      <c r="C1662" s="5">
        <v>0</v>
      </c>
      <c r="D1662" s="9">
        <v>1</v>
      </c>
      <c r="E1662" s="6">
        <v>0.76903473680000001</v>
      </c>
    </row>
    <row r="1663" spans="1:5" x14ac:dyDescent="0.3">
      <c r="A1663" s="7">
        <v>209</v>
      </c>
      <c r="B1663" s="7" t="s">
        <v>257</v>
      </c>
      <c r="C1663" s="7">
        <v>1</v>
      </c>
      <c r="D1663" s="10">
        <v>10</v>
      </c>
      <c r="E1663" s="8">
        <v>0.7644769602</v>
      </c>
    </row>
    <row r="1664" spans="1:5" x14ac:dyDescent="0.3">
      <c r="A1664" s="5">
        <v>209</v>
      </c>
      <c r="B1664" s="5" t="s">
        <v>257</v>
      </c>
      <c r="C1664" s="5">
        <v>2</v>
      </c>
      <c r="D1664" s="9">
        <v>100</v>
      </c>
      <c r="E1664" s="6">
        <v>0.76372281360000005</v>
      </c>
    </row>
    <row r="1665" spans="1:5" x14ac:dyDescent="0.3">
      <c r="A1665" s="7">
        <v>209</v>
      </c>
      <c r="B1665" s="7" t="s">
        <v>257</v>
      </c>
      <c r="C1665" s="7">
        <v>3</v>
      </c>
      <c r="D1665" s="10">
        <v>1000</v>
      </c>
      <c r="E1665" s="8">
        <v>0.76373655679999997</v>
      </c>
    </row>
    <row r="1666" spans="1:5" x14ac:dyDescent="0.3">
      <c r="A1666" s="5">
        <v>210</v>
      </c>
      <c r="B1666" s="5" t="s">
        <v>258</v>
      </c>
      <c r="C1666" s="5">
        <v>-4</v>
      </c>
      <c r="D1666" s="9">
        <v>1E-4</v>
      </c>
      <c r="E1666" s="6">
        <v>0.31897950650000001</v>
      </c>
    </row>
    <row r="1667" spans="1:5" x14ac:dyDescent="0.3">
      <c r="A1667" s="7">
        <v>210</v>
      </c>
      <c r="B1667" s="7" t="s">
        <v>258</v>
      </c>
      <c r="C1667" s="7">
        <v>-3</v>
      </c>
      <c r="D1667" s="10">
        <v>1E-3</v>
      </c>
      <c r="E1667" s="8">
        <v>0.58061665979999999</v>
      </c>
    </row>
    <row r="1668" spans="1:5" x14ac:dyDescent="0.3">
      <c r="A1668" s="5">
        <v>210</v>
      </c>
      <c r="B1668" s="5" t="s">
        <v>258</v>
      </c>
      <c r="C1668" s="5">
        <v>-2</v>
      </c>
      <c r="D1668" s="9">
        <v>0.01</v>
      </c>
      <c r="E1668" s="6">
        <v>0.88513117299999999</v>
      </c>
    </row>
    <row r="1669" spans="1:5" x14ac:dyDescent="0.3">
      <c r="A1669" s="7">
        <v>210</v>
      </c>
      <c r="B1669" s="7" t="s">
        <v>258</v>
      </c>
      <c r="C1669" s="7">
        <v>-1</v>
      </c>
      <c r="D1669" s="10">
        <v>0.1</v>
      </c>
      <c r="E1669" s="8">
        <v>0.78777724449999997</v>
      </c>
    </row>
    <row r="1670" spans="1:5" x14ac:dyDescent="0.3">
      <c r="A1670" s="5">
        <v>210</v>
      </c>
      <c r="B1670" s="5" t="s">
        <v>258</v>
      </c>
      <c r="C1670" s="5">
        <v>0</v>
      </c>
      <c r="D1670" s="9">
        <v>1</v>
      </c>
      <c r="E1670" s="6">
        <v>0.6479614306</v>
      </c>
    </row>
    <row r="1671" spans="1:5" x14ac:dyDescent="0.3">
      <c r="A1671" s="7">
        <v>210</v>
      </c>
      <c r="B1671" s="7" t="s">
        <v>258</v>
      </c>
      <c r="C1671" s="7">
        <v>1</v>
      </c>
      <c r="D1671" s="10">
        <v>10</v>
      </c>
      <c r="E1671" s="8">
        <v>0.6330435794</v>
      </c>
    </row>
    <row r="1672" spans="1:5" x14ac:dyDescent="0.3">
      <c r="A1672" s="5">
        <v>210</v>
      </c>
      <c r="B1672" s="5" t="s">
        <v>258</v>
      </c>
      <c r="C1672" s="5">
        <v>2</v>
      </c>
      <c r="D1672" s="9">
        <v>100</v>
      </c>
      <c r="E1672" s="6">
        <v>0.63491612900000005</v>
      </c>
    </row>
    <row r="1673" spans="1:5" x14ac:dyDescent="0.3">
      <c r="A1673" s="7">
        <v>210</v>
      </c>
      <c r="B1673" s="7" t="s">
        <v>258</v>
      </c>
      <c r="C1673" s="7">
        <v>3</v>
      </c>
      <c r="D1673" s="10">
        <v>1000</v>
      </c>
      <c r="E1673" s="8">
        <v>0.63610128509999997</v>
      </c>
    </row>
    <row r="1674" spans="1:5" x14ac:dyDescent="0.3">
      <c r="A1674" s="5">
        <v>211</v>
      </c>
      <c r="B1674" s="5" t="s">
        <v>259</v>
      </c>
      <c r="C1674" s="5">
        <v>-4</v>
      </c>
      <c r="D1674" s="9">
        <v>1E-4</v>
      </c>
      <c r="E1674" s="6">
        <v>0.53196619079999996</v>
      </c>
    </row>
    <row r="1675" spans="1:5" x14ac:dyDescent="0.3">
      <c r="A1675" s="7">
        <v>211</v>
      </c>
      <c r="B1675" s="7" t="s">
        <v>259</v>
      </c>
      <c r="C1675" s="7">
        <v>-3</v>
      </c>
      <c r="D1675" s="10">
        <v>1E-3</v>
      </c>
      <c r="E1675" s="8">
        <v>0.6679177181</v>
      </c>
    </row>
    <row r="1676" spans="1:5" x14ac:dyDescent="0.3">
      <c r="A1676" s="5">
        <v>211</v>
      </c>
      <c r="B1676" s="5" t="s">
        <v>259</v>
      </c>
      <c r="C1676" s="5">
        <v>-2</v>
      </c>
      <c r="D1676" s="9">
        <v>0.01</v>
      </c>
      <c r="E1676" s="6">
        <v>0.88183172359999995</v>
      </c>
    </row>
    <row r="1677" spans="1:5" x14ac:dyDescent="0.3">
      <c r="A1677" s="7">
        <v>211</v>
      </c>
      <c r="B1677" s="7" t="s">
        <v>259</v>
      </c>
      <c r="C1677" s="7">
        <v>-1</v>
      </c>
      <c r="D1677" s="10">
        <v>0.1</v>
      </c>
      <c r="E1677" s="8">
        <v>0.41500840150000001</v>
      </c>
    </row>
    <row r="1678" spans="1:5" x14ac:dyDescent="0.3">
      <c r="A1678" s="5">
        <v>211</v>
      </c>
      <c r="B1678" s="5" t="s">
        <v>259</v>
      </c>
      <c r="C1678" s="5">
        <v>0</v>
      </c>
      <c r="D1678" s="9">
        <v>1</v>
      </c>
      <c r="E1678" s="6">
        <v>0.1087619925</v>
      </c>
    </row>
    <row r="1679" spans="1:5" x14ac:dyDescent="0.3">
      <c r="A1679" s="7">
        <v>211</v>
      </c>
      <c r="B1679" s="7" t="s">
        <v>259</v>
      </c>
      <c r="C1679" s="7">
        <v>1</v>
      </c>
      <c r="D1679" s="10">
        <v>10</v>
      </c>
      <c r="E1679" s="8">
        <v>8.4105913599999998E-2</v>
      </c>
    </row>
    <row r="1680" spans="1:5" x14ac:dyDescent="0.3">
      <c r="A1680" s="5">
        <v>211</v>
      </c>
      <c r="B1680" s="5" t="s">
        <v>259</v>
      </c>
      <c r="C1680" s="5">
        <v>2</v>
      </c>
      <c r="D1680" s="9">
        <v>100</v>
      </c>
      <c r="E1680" s="6">
        <v>7.7245921199999998E-2</v>
      </c>
    </row>
    <row r="1681" spans="1:5" x14ac:dyDescent="0.3">
      <c r="A1681" s="7">
        <v>211</v>
      </c>
      <c r="B1681" s="7" t="s">
        <v>259</v>
      </c>
      <c r="C1681" s="7">
        <v>3</v>
      </c>
      <c r="D1681" s="10">
        <v>1000</v>
      </c>
      <c r="E1681" s="8">
        <v>9.5167759800000001E-2</v>
      </c>
    </row>
    <row r="1682" spans="1:5" x14ac:dyDescent="0.3">
      <c r="A1682" s="5">
        <v>212</v>
      </c>
      <c r="B1682" s="5" t="s">
        <v>260</v>
      </c>
      <c r="C1682" s="5">
        <v>-4</v>
      </c>
      <c r="D1682" s="9">
        <v>1E-4</v>
      </c>
      <c r="E1682" s="6">
        <v>0.67735776479999998</v>
      </c>
    </row>
    <row r="1683" spans="1:5" x14ac:dyDescent="0.3">
      <c r="A1683" s="7">
        <v>212</v>
      </c>
      <c r="B1683" s="7" t="s">
        <v>260</v>
      </c>
      <c r="C1683" s="7">
        <v>-3</v>
      </c>
      <c r="D1683" s="10">
        <v>1E-3</v>
      </c>
      <c r="E1683" s="8">
        <v>0.83018684359999995</v>
      </c>
    </row>
    <row r="1684" spans="1:5" x14ac:dyDescent="0.3">
      <c r="A1684" s="5">
        <v>212</v>
      </c>
      <c r="B1684" s="5" t="s">
        <v>260</v>
      </c>
      <c r="C1684" s="5">
        <v>-2</v>
      </c>
      <c r="D1684" s="9">
        <v>0.01</v>
      </c>
      <c r="E1684" s="6">
        <v>0.74226310230000003</v>
      </c>
    </row>
    <row r="1685" spans="1:5" x14ac:dyDescent="0.3">
      <c r="A1685" s="7">
        <v>212</v>
      </c>
      <c r="B1685" s="7" t="s">
        <v>260</v>
      </c>
      <c r="C1685" s="7">
        <v>-1</v>
      </c>
      <c r="D1685" s="10">
        <v>0.1</v>
      </c>
      <c r="E1685" s="8">
        <v>0.17519331860000001</v>
      </c>
    </row>
    <row r="1686" spans="1:5" x14ac:dyDescent="0.3">
      <c r="A1686" s="5">
        <v>212</v>
      </c>
      <c r="B1686" s="5" t="s">
        <v>260</v>
      </c>
      <c r="C1686" s="5">
        <v>0</v>
      </c>
      <c r="D1686" s="9">
        <v>1</v>
      </c>
      <c r="E1686" s="6">
        <v>-3.1846671100000001E-2</v>
      </c>
    </row>
    <row r="1687" spans="1:5" x14ac:dyDescent="0.3">
      <c r="A1687" s="7">
        <v>212</v>
      </c>
      <c r="B1687" s="7" t="s">
        <v>260</v>
      </c>
      <c r="C1687" s="7">
        <v>1</v>
      </c>
      <c r="D1687" s="10">
        <v>10</v>
      </c>
      <c r="E1687" s="8">
        <v>-5.3223568800000003E-2</v>
      </c>
    </row>
    <row r="1688" spans="1:5" x14ac:dyDescent="0.3">
      <c r="A1688" s="5">
        <v>212</v>
      </c>
      <c r="B1688" s="5" t="s">
        <v>260</v>
      </c>
      <c r="C1688" s="5">
        <v>2</v>
      </c>
      <c r="D1688" s="9">
        <v>100</v>
      </c>
      <c r="E1688" s="6">
        <v>-5.3385478E-2</v>
      </c>
    </row>
    <row r="1689" spans="1:5" x14ac:dyDescent="0.3">
      <c r="A1689" s="7">
        <v>212</v>
      </c>
      <c r="B1689" s="7" t="s">
        <v>260</v>
      </c>
      <c r="C1689" s="7">
        <v>3</v>
      </c>
      <c r="D1689" s="10">
        <v>1000</v>
      </c>
      <c r="E1689" s="8">
        <v>-5.3385478E-2</v>
      </c>
    </row>
    <row r="1690" spans="1:5" x14ac:dyDescent="0.3">
      <c r="A1690" s="5">
        <v>213</v>
      </c>
      <c r="B1690" s="5" t="s">
        <v>261</v>
      </c>
      <c r="C1690" s="5">
        <v>-4</v>
      </c>
      <c r="D1690" s="9">
        <v>1E-4</v>
      </c>
      <c r="E1690" s="6">
        <v>0.3211390516</v>
      </c>
    </row>
    <row r="1691" spans="1:5" x14ac:dyDescent="0.3">
      <c r="A1691" s="7">
        <v>213</v>
      </c>
      <c r="B1691" s="7" t="s">
        <v>261</v>
      </c>
      <c r="C1691" s="7">
        <v>-3</v>
      </c>
      <c r="D1691" s="10">
        <v>1E-3</v>
      </c>
      <c r="E1691" s="8">
        <v>0.45802913270000001</v>
      </c>
    </row>
    <row r="1692" spans="1:5" x14ac:dyDescent="0.3">
      <c r="A1692" s="5">
        <v>213</v>
      </c>
      <c r="B1692" s="5" t="s">
        <v>261</v>
      </c>
      <c r="C1692" s="5">
        <v>-2</v>
      </c>
      <c r="D1692" s="9">
        <v>0.01</v>
      </c>
      <c r="E1692" s="6">
        <v>0.84399266029999997</v>
      </c>
    </row>
    <row r="1693" spans="1:5" x14ac:dyDescent="0.3">
      <c r="A1693" s="7">
        <v>213</v>
      </c>
      <c r="B1693" s="7" t="s">
        <v>261</v>
      </c>
      <c r="C1693" s="7">
        <v>-1</v>
      </c>
      <c r="D1693" s="10">
        <v>0.1</v>
      </c>
      <c r="E1693" s="8">
        <v>0.94867370839999998</v>
      </c>
    </row>
    <row r="1694" spans="1:5" x14ac:dyDescent="0.3">
      <c r="A1694" s="5">
        <v>213</v>
      </c>
      <c r="B1694" s="5" t="s">
        <v>261</v>
      </c>
      <c r="C1694" s="5">
        <v>0</v>
      </c>
      <c r="D1694" s="9">
        <v>1</v>
      </c>
      <c r="E1694" s="6">
        <v>0.84002849950000003</v>
      </c>
    </row>
    <row r="1695" spans="1:5" x14ac:dyDescent="0.3">
      <c r="A1695" s="7">
        <v>213</v>
      </c>
      <c r="B1695" s="7" t="s">
        <v>261</v>
      </c>
      <c r="C1695" s="7">
        <v>1</v>
      </c>
      <c r="D1695" s="10">
        <v>10</v>
      </c>
      <c r="E1695" s="8">
        <v>0.82266074519999999</v>
      </c>
    </row>
    <row r="1696" spans="1:5" x14ac:dyDescent="0.3">
      <c r="A1696" s="5">
        <v>213</v>
      </c>
      <c r="B1696" s="5" t="s">
        <v>261</v>
      </c>
      <c r="C1696" s="5">
        <v>2</v>
      </c>
      <c r="D1696" s="9">
        <v>100</v>
      </c>
      <c r="E1696" s="6">
        <v>0.82275407850000004</v>
      </c>
    </row>
    <row r="1697" spans="1:5" x14ac:dyDescent="0.3">
      <c r="A1697" s="7">
        <v>213</v>
      </c>
      <c r="B1697" s="7" t="s">
        <v>261</v>
      </c>
      <c r="C1697" s="7">
        <v>3</v>
      </c>
      <c r="D1697" s="10">
        <v>1000</v>
      </c>
      <c r="E1697" s="8">
        <v>0.82566996979999996</v>
      </c>
    </row>
    <row r="1698" spans="1:5" x14ac:dyDescent="0.3">
      <c r="A1698" s="5">
        <v>214</v>
      </c>
      <c r="B1698" s="5" t="s">
        <v>262</v>
      </c>
      <c r="C1698" s="5">
        <v>-4</v>
      </c>
      <c r="D1698" s="9">
        <v>1E-4</v>
      </c>
      <c r="E1698" s="6">
        <v>0.5262131525</v>
      </c>
    </row>
    <row r="1699" spans="1:5" x14ac:dyDescent="0.3">
      <c r="A1699" s="7">
        <v>214</v>
      </c>
      <c r="B1699" s="7" t="s">
        <v>262</v>
      </c>
      <c r="C1699" s="7">
        <v>-3</v>
      </c>
      <c r="D1699" s="10">
        <v>1E-3</v>
      </c>
      <c r="E1699" s="8">
        <v>0.64109193060000003</v>
      </c>
    </row>
    <row r="1700" spans="1:5" x14ac:dyDescent="0.3">
      <c r="A1700" s="5">
        <v>214</v>
      </c>
      <c r="B1700" s="5" t="s">
        <v>262</v>
      </c>
      <c r="C1700" s="5">
        <v>-2</v>
      </c>
      <c r="D1700" s="9">
        <v>0.01</v>
      </c>
      <c r="E1700" s="6">
        <v>0.85341487230000002</v>
      </c>
    </row>
    <row r="1701" spans="1:5" x14ac:dyDescent="0.3">
      <c r="A1701" s="7">
        <v>214</v>
      </c>
      <c r="B1701" s="7" t="s">
        <v>262</v>
      </c>
      <c r="C1701" s="7">
        <v>-1</v>
      </c>
      <c r="D1701" s="10">
        <v>0.1</v>
      </c>
      <c r="E1701" s="8">
        <v>0.5719612288</v>
      </c>
    </row>
    <row r="1702" spans="1:5" x14ac:dyDescent="0.3">
      <c r="A1702" s="5">
        <v>214</v>
      </c>
      <c r="B1702" s="5" t="s">
        <v>262</v>
      </c>
      <c r="C1702" s="5">
        <v>0</v>
      </c>
      <c r="D1702" s="9">
        <v>1</v>
      </c>
      <c r="E1702" s="6">
        <v>0.37471147160000001</v>
      </c>
    </row>
    <row r="1703" spans="1:5" x14ac:dyDescent="0.3">
      <c r="A1703" s="7">
        <v>214</v>
      </c>
      <c r="B1703" s="7" t="s">
        <v>262</v>
      </c>
      <c r="C1703" s="7">
        <v>1</v>
      </c>
      <c r="D1703" s="10">
        <v>10</v>
      </c>
      <c r="E1703" s="8">
        <v>0.35621925989999997</v>
      </c>
    </row>
    <row r="1704" spans="1:5" x14ac:dyDescent="0.3">
      <c r="A1704" s="5">
        <v>214</v>
      </c>
      <c r="B1704" s="5" t="s">
        <v>262</v>
      </c>
      <c r="C1704" s="5">
        <v>2</v>
      </c>
      <c r="D1704" s="9">
        <v>100</v>
      </c>
      <c r="E1704" s="6">
        <v>0.35626243190000001</v>
      </c>
    </row>
    <row r="1705" spans="1:5" x14ac:dyDescent="0.3">
      <c r="A1705" s="7">
        <v>214</v>
      </c>
      <c r="B1705" s="7" t="s">
        <v>262</v>
      </c>
      <c r="C1705" s="7">
        <v>3</v>
      </c>
      <c r="D1705" s="10">
        <v>1000</v>
      </c>
      <c r="E1705" s="8">
        <v>0.35564213</v>
      </c>
    </row>
    <row r="1706" spans="1:5" x14ac:dyDescent="0.3">
      <c r="A1706" s="5">
        <v>215</v>
      </c>
      <c r="B1706" s="5" t="s">
        <v>263</v>
      </c>
      <c r="C1706" s="5">
        <v>-4</v>
      </c>
      <c r="D1706" s="9">
        <v>1E-4</v>
      </c>
      <c r="E1706" s="6">
        <v>0.57286516799999998</v>
      </c>
    </row>
    <row r="1707" spans="1:5" x14ac:dyDescent="0.3">
      <c r="A1707" s="7">
        <v>215</v>
      </c>
      <c r="B1707" s="7" t="s">
        <v>263</v>
      </c>
      <c r="C1707" s="7">
        <v>-3</v>
      </c>
      <c r="D1707" s="10">
        <v>1E-3</v>
      </c>
      <c r="E1707" s="8">
        <v>0.61479384140000004</v>
      </c>
    </row>
    <row r="1708" spans="1:5" x14ac:dyDescent="0.3">
      <c r="A1708" s="5">
        <v>215</v>
      </c>
      <c r="B1708" s="5" t="s">
        <v>263</v>
      </c>
      <c r="C1708" s="5">
        <v>-2</v>
      </c>
      <c r="D1708" s="9">
        <v>0.01</v>
      </c>
      <c r="E1708" s="6">
        <v>0.74256936200000001</v>
      </c>
    </row>
    <row r="1709" spans="1:5" x14ac:dyDescent="0.3">
      <c r="A1709" s="7">
        <v>215</v>
      </c>
      <c r="B1709" s="7" t="s">
        <v>263</v>
      </c>
      <c r="C1709" s="7">
        <v>-1</v>
      </c>
      <c r="D1709" s="10">
        <v>0.1</v>
      </c>
      <c r="E1709" s="8">
        <v>0.48291886789999999</v>
      </c>
    </row>
    <row r="1710" spans="1:5" x14ac:dyDescent="0.3">
      <c r="A1710" s="5">
        <v>215</v>
      </c>
      <c r="B1710" s="5" t="s">
        <v>263</v>
      </c>
      <c r="C1710" s="5">
        <v>0</v>
      </c>
      <c r="D1710" s="9">
        <v>1</v>
      </c>
      <c r="E1710" s="6">
        <v>0.30717264150000001</v>
      </c>
    </row>
    <row r="1711" spans="1:5" x14ac:dyDescent="0.3">
      <c r="A1711" s="7">
        <v>215</v>
      </c>
      <c r="B1711" s="7" t="s">
        <v>263</v>
      </c>
      <c r="C1711" s="7">
        <v>1</v>
      </c>
      <c r="D1711" s="10">
        <v>10</v>
      </c>
      <c r="E1711" s="8">
        <v>0.29245283020000001</v>
      </c>
    </row>
    <row r="1712" spans="1:5" x14ac:dyDescent="0.3">
      <c r="A1712" s="5">
        <v>215</v>
      </c>
      <c r="B1712" s="5" t="s">
        <v>263</v>
      </c>
      <c r="C1712" s="5">
        <v>2</v>
      </c>
      <c r="D1712" s="9">
        <v>100</v>
      </c>
      <c r="E1712" s="6">
        <v>0.29245283020000001</v>
      </c>
    </row>
    <row r="1713" spans="1:5" x14ac:dyDescent="0.3">
      <c r="A1713" s="7">
        <v>215</v>
      </c>
      <c r="B1713" s="7" t="s">
        <v>263</v>
      </c>
      <c r="C1713" s="7">
        <v>3</v>
      </c>
      <c r="D1713" s="10">
        <v>1000</v>
      </c>
      <c r="E1713" s="8">
        <v>0.29245283020000001</v>
      </c>
    </row>
    <row r="1714" spans="1:5" x14ac:dyDescent="0.3">
      <c r="A1714" s="5">
        <v>216</v>
      </c>
      <c r="B1714" s="5" t="s">
        <v>264</v>
      </c>
      <c r="C1714" s="5">
        <v>-4</v>
      </c>
      <c r="D1714" s="9">
        <v>1E-4</v>
      </c>
      <c r="E1714" s="6">
        <v>0.38387895300000002</v>
      </c>
    </row>
    <row r="1715" spans="1:5" x14ac:dyDescent="0.3">
      <c r="A1715" s="7">
        <v>216</v>
      </c>
      <c r="B1715" s="7" t="s">
        <v>264</v>
      </c>
      <c r="C1715" s="7">
        <v>-3</v>
      </c>
      <c r="D1715" s="10">
        <v>1E-3</v>
      </c>
      <c r="E1715" s="8">
        <v>0.465165157</v>
      </c>
    </row>
    <row r="1716" spans="1:5" x14ac:dyDescent="0.3">
      <c r="A1716" s="5">
        <v>216</v>
      </c>
      <c r="B1716" s="5" t="s">
        <v>264</v>
      </c>
      <c r="C1716" s="5">
        <v>-2</v>
      </c>
      <c r="D1716" s="9">
        <v>0.01</v>
      </c>
      <c r="E1716" s="6">
        <v>0.90564777880000003</v>
      </c>
    </row>
    <row r="1717" spans="1:5" x14ac:dyDescent="0.3">
      <c r="A1717" s="7">
        <v>216</v>
      </c>
      <c r="B1717" s="7" t="s">
        <v>264</v>
      </c>
      <c r="C1717" s="7">
        <v>-1</v>
      </c>
      <c r="D1717" s="10">
        <v>0.1</v>
      </c>
      <c r="E1717" s="8">
        <v>0.95124687610000003</v>
      </c>
    </row>
    <row r="1718" spans="1:5" x14ac:dyDescent="0.3">
      <c r="A1718" s="5">
        <v>216</v>
      </c>
      <c r="B1718" s="5" t="s">
        <v>264</v>
      </c>
      <c r="C1718" s="5">
        <v>0</v>
      </c>
      <c r="D1718" s="9">
        <v>1</v>
      </c>
      <c r="E1718" s="6">
        <v>0.91511429519999998</v>
      </c>
    </row>
    <row r="1719" spans="1:5" x14ac:dyDescent="0.3">
      <c r="A1719" s="7">
        <v>216</v>
      </c>
      <c r="B1719" s="7" t="s">
        <v>264</v>
      </c>
      <c r="C1719" s="7">
        <v>1</v>
      </c>
      <c r="D1719" s="10">
        <v>10</v>
      </c>
      <c r="E1719" s="8">
        <v>0.90890199029999996</v>
      </c>
    </row>
    <row r="1720" spans="1:5" x14ac:dyDescent="0.3">
      <c r="A1720" s="5">
        <v>216</v>
      </c>
      <c r="B1720" s="5" t="s">
        <v>264</v>
      </c>
      <c r="C1720" s="5">
        <v>2</v>
      </c>
      <c r="D1720" s="9">
        <v>100</v>
      </c>
      <c r="E1720" s="6">
        <v>0.90872088289999997</v>
      </c>
    </row>
    <row r="1721" spans="1:5" x14ac:dyDescent="0.3">
      <c r="A1721" s="7">
        <v>216</v>
      </c>
      <c r="B1721" s="7" t="s">
        <v>264</v>
      </c>
      <c r="C1721" s="7">
        <v>3</v>
      </c>
      <c r="D1721" s="10">
        <v>1000</v>
      </c>
      <c r="E1721" s="8">
        <v>0.90897941400000004</v>
      </c>
    </row>
    <row r="1722" spans="1:5" x14ac:dyDescent="0.3">
      <c r="A1722" s="5">
        <v>217</v>
      </c>
      <c r="B1722" s="5" t="s">
        <v>265</v>
      </c>
      <c r="C1722" s="5">
        <v>-4</v>
      </c>
      <c r="D1722" s="9">
        <v>1E-4</v>
      </c>
      <c r="E1722" s="6">
        <v>0.40072222219999998</v>
      </c>
    </row>
    <row r="1723" spans="1:5" x14ac:dyDescent="0.3">
      <c r="A1723" s="7">
        <v>217</v>
      </c>
      <c r="B1723" s="7" t="s">
        <v>265</v>
      </c>
      <c r="C1723" s="7">
        <v>-3</v>
      </c>
      <c r="D1723" s="10">
        <v>1E-3</v>
      </c>
      <c r="E1723" s="8">
        <v>0.4284989696</v>
      </c>
    </row>
    <row r="1724" spans="1:5" x14ac:dyDescent="0.3">
      <c r="A1724" s="5">
        <v>217</v>
      </c>
      <c r="B1724" s="5" t="s">
        <v>265</v>
      </c>
      <c r="C1724" s="5">
        <v>-2</v>
      </c>
      <c r="D1724" s="9">
        <v>0.01</v>
      </c>
      <c r="E1724" s="6">
        <v>0.83815593590000004</v>
      </c>
    </row>
    <row r="1725" spans="1:5" x14ac:dyDescent="0.3">
      <c r="A1725" s="7">
        <v>217</v>
      </c>
      <c r="B1725" s="7" t="s">
        <v>265</v>
      </c>
      <c r="C1725" s="7">
        <v>-1</v>
      </c>
      <c r="D1725" s="10">
        <v>0.1</v>
      </c>
      <c r="E1725" s="8">
        <v>0.87320479969999998</v>
      </c>
    </row>
    <row r="1726" spans="1:5" x14ac:dyDescent="0.3">
      <c r="A1726" s="5">
        <v>217</v>
      </c>
      <c r="B1726" s="5" t="s">
        <v>265</v>
      </c>
      <c r="C1726" s="5">
        <v>0</v>
      </c>
      <c r="D1726" s="9">
        <v>1</v>
      </c>
      <c r="E1726" s="6">
        <v>0.75564979440000002</v>
      </c>
    </row>
    <row r="1727" spans="1:5" x14ac:dyDescent="0.3">
      <c r="A1727" s="7">
        <v>217</v>
      </c>
      <c r="B1727" s="7" t="s">
        <v>265</v>
      </c>
      <c r="C1727" s="7">
        <v>1</v>
      </c>
      <c r="D1727" s="10">
        <v>10</v>
      </c>
      <c r="E1727" s="8">
        <v>0.74731182799999996</v>
      </c>
    </row>
    <row r="1728" spans="1:5" x14ac:dyDescent="0.3">
      <c r="A1728" s="5">
        <v>217</v>
      </c>
      <c r="B1728" s="5" t="s">
        <v>265</v>
      </c>
      <c r="C1728" s="5">
        <v>2</v>
      </c>
      <c r="D1728" s="9">
        <v>100</v>
      </c>
      <c r="E1728" s="6">
        <v>0.74731182799999996</v>
      </c>
    </row>
    <row r="1729" spans="1:5" x14ac:dyDescent="0.3">
      <c r="A1729" s="7">
        <v>217</v>
      </c>
      <c r="B1729" s="7" t="s">
        <v>265</v>
      </c>
      <c r="C1729" s="7">
        <v>3</v>
      </c>
      <c r="D1729" s="10">
        <v>1000</v>
      </c>
      <c r="E1729" s="8">
        <v>0.74745898170000002</v>
      </c>
    </row>
    <row r="1730" spans="1:5" x14ac:dyDescent="0.3">
      <c r="A1730" s="5">
        <v>218</v>
      </c>
      <c r="B1730" s="5" t="s">
        <v>266</v>
      </c>
      <c r="C1730" s="5">
        <v>-4</v>
      </c>
      <c r="D1730" s="9">
        <v>1E-4</v>
      </c>
      <c r="E1730" s="6">
        <v>0.2479181493</v>
      </c>
    </row>
    <row r="1731" spans="1:5" x14ac:dyDescent="0.3">
      <c r="A1731" s="7">
        <v>218</v>
      </c>
      <c r="B1731" s="7" t="s">
        <v>266</v>
      </c>
      <c r="C1731" s="7">
        <v>-3</v>
      </c>
      <c r="D1731" s="10">
        <v>1E-3</v>
      </c>
      <c r="E1731" s="8">
        <v>0.32952505329999998</v>
      </c>
    </row>
    <row r="1732" spans="1:5" x14ac:dyDescent="0.3">
      <c r="A1732" s="5">
        <v>218</v>
      </c>
      <c r="B1732" s="5" t="s">
        <v>266</v>
      </c>
      <c r="C1732" s="5">
        <v>-2</v>
      </c>
      <c r="D1732" s="9">
        <v>0.01</v>
      </c>
      <c r="E1732" s="6">
        <v>0.65644771629999998</v>
      </c>
    </row>
    <row r="1733" spans="1:5" x14ac:dyDescent="0.3">
      <c r="A1733" s="7">
        <v>218</v>
      </c>
      <c r="B1733" s="7" t="s">
        <v>266</v>
      </c>
      <c r="C1733" s="7">
        <v>-1</v>
      </c>
      <c r="D1733" s="10">
        <v>0.1</v>
      </c>
      <c r="E1733" s="8">
        <v>0.45583952750000001</v>
      </c>
    </row>
    <row r="1734" spans="1:5" x14ac:dyDescent="0.3">
      <c r="A1734" s="5">
        <v>218</v>
      </c>
      <c r="B1734" s="5" t="s">
        <v>266</v>
      </c>
      <c r="C1734" s="5">
        <v>0</v>
      </c>
      <c r="D1734" s="9">
        <v>1</v>
      </c>
      <c r="E1734" s="6">
        <v>-0.152409612</v>
      </c>
    </row>
    <row r="1735" spans="1:5" x14ac:dyDescent="0.3">
      <c r="A1735" s="7">
        <v>218</v>
      </c>
      <c r="B1735" s="7" t="s">
        <v>266</v>
      </c>
      <c r="C1735" s="7">
        <v>1</v>
      </c>
      <c r="D1735" s="10">
        <v>10</v>
      </c>
      <c r="E1735" s="8">
        <v>-0.1815204054</v>
      </c>
    </row>
    <row r="1736" spans="1:5" x14ac:dyDescent="0.3">
      <c r="A1736" s="5">
        <v>218</v>
      </c>
      <c r="B1736" s="5" t="s">
        <v>266</v>
      </c>
      <c r="C1736" s="5">
        <v>2</v>
      </c>
      <c r="D1736" s="9">
        <v>100</v>
      </c>
      <c r="E1736" s="6">
        <v>-0.1941900121</v>
      </c>
    </row>
    <row r="1737" spans="1:5" x14ac:dyDescent="0.3">
      <c r="A1737" s="7">
        <v>218</v>
      </c>
      <c r="B1737" s="7" t="s">
        <v>266</v>
      </c>
      <c r="C1737" s="7">
        <v>3</v>
      </c>
      <c r="D1737" s="10">
        <v>1000</v>
      </c>
      <c r="E1737" s="8">
        <v>-0.19118880390000001</v>
      </c>
    </row>
    <row r="1738" spans="1:5" x14ac:dyDescent="0.3">
      <c r="A1738" s="5">
        <v>219</v>
      </c>
      <c r="B1738" s="5" t="s">
        <v>267</v>
      </c>
      <c r="C1738" s="5">
        <v>-4</v>
      </c>
      <c r="D1738" s="9">
        <v>1E-4</v>
      </c>
      <c r="E1738" s="6">
        <v>0.59233498549999997</v>
      </c>
    </row>
    <row r="1739" spans="1:5" x14ac:dyDescent="0.3">
      <c r="A1739" s="7">
        <v>219</v>
      </c>
      <c r="B1739" s="7" t="s">
        <v>267</v>
      </c>
      <c r="C1739" s="7">
        <v>-3</v>
      </c>
      <c r="D1739" s="10">
        <v>1E-3</v>
      </c>
      <c r="E1739" s="8">
        <v>0.81834454869999995</v>
      </c>
    </row>
    <row r="1740" spans="1:5" x14ac:dyDescent="0.3">
      <c r="A1740" s="5">
        <v>219</v>
      </c>
      <c r="B1740" s="5" t="s">
        <v>267</v>
      </c>
      <c r="C1740" s="5">
        <v>-2</v>
      </c>
      <c r="D1740" s="9">
        <v>0.01</v>
      </c>
      <c r="E1740" s="6">
        <v>0.77648676139999995</v>
      </c>
    </row>
    <row r="1741" spans="1:5" x14ac:dyDescent="0.3">
      <c r="A1741" s="7">
        <v>219</v>
      </c>
      <c r="B1741" s="7" t="s">
        <v>267</v>
      </c>
      <c r="C1741" s="7">
        <v>-1</v>
      </c>
      <c r="D1741" s="10">
        <v>0.1</v>
      </c>
      <c r="E1741" s="8">
        <v>0.2304450935</v>
      </c>
    </row>
    <row r="1742" spans="1:5" x14ac:dyDescent="0.3">
      <c r="A1742" s="5">
        <v>219</v>
      </c>
      <c r="B1742" s="5" t="s">
        <v>267</v>
      </c>
      <c r="C1742" s="5">
        <v>0</v>
      </c>
      <c r="D1742" s="9">
        <v>1</v>
      </c>
      <c r="E1742" s="6">
        <v>5.1617523999999998E-2</v>
      </c>
    </row>
    <row r="1743" spans="1:5" x14ac:dyDescent="0.3">
      <c r="A1743" s="7">
        <v>219</v>
      </c>
      <c r="B1743" s="7" t="s">
        <v>267</v>
      </c>
      <c r="C1743" s="7">
        <v>1</v>
      </c>
      <c r="D1743" s="10">
        <v>10</v>
      </c>
      <c r="E1743" s="8">
        <v>1.03178495E-2</v>
      </c>
    </row>
    <row r="1744" spans="1:5" x14ac:dyDescent="0.3">
      <c r="A1744" s="5">
        <v>219</v>
      </c>
      <c r="B1744" s="5" t="s">
        <v>267</v>
      </c>
      <c r="C1744" s="5">
        <v>2</v>
      </c>
      <c r="D1744" s="9">
        <v>100</v>
      </c>
      <c r="E1744" s="6">
        <v>1.02381546E-2</v>
      </c>
    </row>
    <row r="1745" spans="1:5" x14ac:dyDescent="0.3">
      <c r="A1745" s="7">
        <v>219</v>
      </c>
      <c r="B1745" s="7" t="s">
        <v>267</v>
      </c>
      <c r="C1745" s="7">
        <v>3</v>
      </c>
      <c r="D1745" s="10">
        <v>1000</v>
      </c>
      <c r="E1745" s="8">
        <v>1.02459678E-2</v>
      </c>
    </row>
    <row r="1746" spans="1:5" x14ac:dyDescent="0.3">
      <c r="A1746" s="5">
        <v>220</v>
      </c>
      <c r="B1746" s="5" t="s">
        <v>268</v>
      </c>
      <c r="C1746" s="5">
        <v>-4</v>
      </c>
      <c r="D1746" s="9">
        <v>1E-4</v>
      </c>
      <c r="E1746" s="6">
        <v>0.62069307549999997</v>
      </c>
    </row>
    <row r="1747" spans="1:5" x14ac:dyDescent="0.3">
      <c r="A1747" s="7">
        <v>220</v>
      </c>
      <c r="B1747" s="7" t="s">
        <v>268</v>
      </c>
      <c r="C1747" s="7">
        <v>-3</v>
      </c>
      <c r="D1747" s="10">
        <v>1E-3</v>
      </c>
      <c r="E1747" s="8">
        <v>0.75419630449999997</v>
      </c>
    </row>
    <row r="1748" spans="1:5" x14ac:dyDescent="0.3">
      <c r="A1748" s="5">
        <v>220</v>
      </c>
      <c r="B1748" s="5" t="s">
        <v>268</v>
      </c>
      <c r="C1748" s="5">
        <v>-2</v>
      </c>
      <c r="D1748" s="9">
        <v>0.01</v>
      </c>
      <c r="E1748" s="6">
        <v>0.64144027159999994</v>
      </c>
    </row>
    <row r="1749" spans="1:5" x14ac:dyDescent="0.3">
      <c r="A1749" s="7">
        <v>220</v>
      </c>
      <c r="B1749" s="7" t="s">
        <v>268</v>
      </c>
      <c r="C1749" s="7">
        <v>-1</v>
      </c>
      <c r="D1749" s="10">
        <v>0.1</v>
      </c>
      <c r="E1749" s="8">
        <v>-0.35118905550000001</v>
      </c>
    </row>
    <row r="1750" spans="1:5" x14ac:dyDescent="0.3">
      <c r="A1750" s="5">
        <v>220</v>
      </c>
      <c r="B1750" s="5" t="s">
        <v>268</v>
      </c>
      <c r="C1750" s="5">
        <v>0</v>
      </c>
      <c r="D1750" s="9">
        <v>1</v>
      </c>
      <c r="E1750" s="6">
        <v>-0.68128473919999999</v>
      </c>
    </row>
    <row r="1751" spans="1:5" x14ac:dyDescent="0.3">
      <c r="A1751" s="7">
        <v>220</v>
      </c>
      <c r="B1751" s="7" t="s">
        <v>268</v>
      </c>
      <c r="C1751" s="7">
        <v>1</v>
      </c>
      <c r="D1751" s="10">
        <v>10</v>
      </c>
      <c r="E1751" s="8">
        <v>-0.7055427098</v>
      </c>
    </row>
    <row r="1752" spans="1:5" x14ac:dyDescent="0.3">
      <c r="A1752" s="5">
        <v>220</v>
      </c>
      <c r="B1752" s="5" t="s">
        <v>268</v>
      </c>
      <c r="C1752" s="5">
        <v>2</v>
      </c>
      <c r="D1752" s="9">
        <v>100</v>
      </c>
      <c r="E1752" s="6">
        <v>-0.70525854119999998</v>
      </c>
    </row>
    <row r="1753" spans="1:5" x14ac:dyDescent="0.3">
      <c r="A1753" s="7">
        <v>220</v>
      </c>
      <c r="B1753" s="7" t="s">
        <v>268</v>
      </c>
      <c r="C1753" s="7">
        <v>3</v>
      </c>
      <c r="D1753" s="10">
        <v>1000</v>
      </c>
      <c r="E1753" s="8">
        <v>-0.70362134030000001</v>
      </c>
    </row>
    <row r="1754" spans="1:5" x14ac:dyDescent="0.3">
      <c r="A1754" s="5">
        <v>221</v>
      </c>
      <c r="B1754" s="5" t="s">
        <v>269</v>
      </c>
      <c r="C1754" s="5">
        <v>-4</v>
      </c>
      <c r="D1754" s="9">
        <v>1E-4</v>
      </c>
      <c r="E1754" s="6">
        <v>0.76387246600000003</v>
      </c>
    </row>
    <row r="1755" spans="1:5" x14ac:dyDescent="0.3">
      <c r="A1755" s="7">
        <v>221</v>
      </c>
      <c r="B1755" s="7" t="s">
        <v>269</v>
      </c>
      <c r="C1755" s="7">
        <v>-3</v>
      </c>
      <c r="D1755" s="10">
        <v>1E-3</v>
      </c>
      <c r="E1755" s="8">
        <v>0.80223741589999997</v>
      </c>
    </row>
    <row r="1756" spans="1:5" x14ac:dyDescent="0.3">
      <c r="A1756" s="5">
        <v>221</v>
      </c>
      <c r="B1756" s="5" t="s">
        <v>269</v>
      </c>
      <c r="C1756" s="5">
        <v>-2</v>
      </c>
      <c r="D1756" s="9">
        <v>0.01</v>
      </c>
      <c r="E1756" s="6">
        <v>0.78327530219999997</v>
      </c>
    </row>
    <row r="1757" spans="1:5" x14ac:dyDescent="0.3">
      <c r="A1757" s="7">
        <v>221</v>
      </c>
      <c r="B1757" s="7" t="s">
        <v>269</v>
      </c>
      <c r="C1757" s="7">
        <v>-1</v>
      </c>
      <c r="D1757" s="10">
        <v>0.1</v>
      </c>
      <c r="E1757" s="8">
        <v>0.58528192769999998</v>
      </c>
    </row>
    <row r="1758" spans="1:5" x14ac:dyDescent="0.3">
      <c r="A1758" s="5">
        <v>221</v>
      </c>
      <c r="B1758" s="5" t="s">
        <v>269</v>
      </c>
      <c r="C1758" s="5">
        <v>0</v>
      </c>
      <c r="D1758" s="9">
        <v>1</v>
      </c>
      <c r="E1758" s="6">
        <v>0.52867951810000002</v>
      </c>
    </row>
    <row r="1759" spans="1:5" x14ac:dyDescent="0.3">
      <c r="A1759" s="7">
        <v>221</v>
      </c>
      <c r="B1759" s="7" t="s">
        <v>269</v>
      </c>
      <c r="C1759" s="7">
        <v>1</v>
      </c>
      <c r="D1759" s="10">
        <v>10</v>
      </c>
      <c r="E1759" s="8">
        <v>0.51807228920000004</v>
      </c>
    </row>
    <row r="1760" spans="1:5" x14ac:dyDescent="0.3">
      <c r="A1760" s="5">
        <v>221</v>
      </c>
      <c r="B1760" s="5" t="s">
        <v>269</v>
      </c>
      <c r="C1760" s="5">
        <v>2</v>
      </c>
      <c r="D1760" s="9">
        <v>100</v>
      </c>
      <c r="E1760" s="6">
        <v>0.51807228920000004</v>
      </c>
    </row>
    <row r="1761" spans="1:5" x14ac:dyDescent="0.3">
      <c r="A1761" s="7">
        <v>221</v>
      </c>
      <c r="B1761" s="7" t="s">
        <v>269</v>
      </c>
      <c r="C1761" s="7">
        <v>3</v>
      </c>
      <c r="D1761" s="10">
        <v>1000</v>
      </c>
      <c r="E1761" s="8">
        <v>0.51807228920000004</v>
      </c>
    </row>
    <row r="1762" spans="1:5" x14ac:dyDescent="0.3">
      <c r="A1762" s="5">
        <v>222</v>
      </c>
      <c r="B1762" s="5" t="s">
        <v>270</v>
      </c>
      <c r="C1762" s="5">
        <v>-4</v>
      </c>
      <c r="D1762" s="9">
        <v>1E-4</v>
      </c>
      <c r="E1762" s="6">
        <v>0.4437377314</v>
      </c>
    </row>
    <row r="1763" spans="1:5" x14ac:dyDescent="0.3">
      <c r="A1763" s="7">
        <v>222</v>
      </c>
      <c r="B1763" s="7" t="s">
        <v>270</v>
      </c>
      <c r="C1763" s="7">
        <v>-3</v>
      </c>
      <c r="D1763" s="10">
        <v>1E-3</v>
      </c>
      <c r="E1763" s="8">
        <v>0.55369109039999997</v>
      </c>
    </row>
    <row r="1764" spans="1:5" x14ac:dyDescent="0.3">
      <c r="A1764" s="5">
        <v>222</v>
      </c>
      <c r="B1764" s="5" t="s">
        <v>270</v>
      </c>
      <c r="C1764" s="5">
        <v>-2</v>
      </c>
      <c r="D1764" s="9">
        <v>0.01</v>
      </c>
      <c r="E1764" s="6">
        <v>0.69796479710000003</v>
      </c>
    </row>
    <row r="1765" spans="1:5" x14ac:dyDescent="0.3">
      <c r="A1765" s="7">
        <v>222</v>
      </c>
      <c r="B1765" s="7" t="s">
        <v>270</v>
      </c>
      <c r="C1765" s="7">
        <v>-1</v>
      </c>
      <c r="D1765" s="10">
        <v>0.1</v>
      </c>
      <c r="E1765" s="8">
        <v>0.58917452010000004</v>
      </c>
    </row>
    <row r="1766" spans="1:5" x14ac:dyDescent="0.3">
      <c r="A1766" s="5">
        <v>222</v>
      </c>
      <c r="B1766" s="5" t="s">
        <v>270</v>
      </c>
      <c r="C1766" s="5">
        <v>0</v>
      </c>
      <c r="D1766" s="9">
        <v>1</v>
      </c>
      <c r="E1766" s="6">
        <v>0.43784364949999999</v>
      </c>
    </row>
    <row r="1767" spans="1:5" x14ac:dyDescent="0.3">
      <c r="A1767" s="7">
        <v>222</v>
      </c>
      <c r="B1767" s="7" t="s">
        <v>270</v>
      </c>
      <c r="C1767" s="7">
        <v>1</v>
      </c>
      <c r="D1767" s="10">
        <v>10</v>
      </c>
      <c r="E1767" s="8">
        <v>0.4151749864</v>
      </c>
    </row>
    <row r="1768" spans="1:5" x14ac:dyDescent="0.3">
      <c r="A1768" s="5">
        <v>222</v>
      </c>
      <c r="B1768" s="5" t="s">
        <v>270</v>
      </c>
      <c r="C1768" s="5">
        <v>2</v>
      </c>
      <c r="D1768" s="9">
        <v>100</v>
      </c>
      <c r="E1768" s="6">
        <v>0.4151749864</v>
      </c>
    </row>
    <row r="1769" spans="1:5" x14ac:dyDescent="0.3">
      <c r="A1769" s="7">
        <v>222</v>
      </c>
      <c r="B1769" s="7" t="s">
        <v>270</v>
      </c>
      <c r="C1769" s="7">
        <v>3</v>
      </c>
      <c r="D1769" s="10">
        <v>1000</v>
      </c>
      <c r="E1769" s="8">
        <v>0.4151749864</v>
      </c>
    </row>
    <row r="1770" spans="1:5" x14ac:dyDescent="0.3">
      <c r="A1770" s="5">
        <v>223</v>
      </c>
      <c r="B1770" s="5" t="s">
        <v>271</v>
      </c>
      <c r="C1770" s="5">
        <v>-4</v>
      </c>
      <c r="D1770" s="9">
        <v>1E-4</v>
      </c>
      <c r="E1770" s="6">
        <v>0.46401518749999998</v>
      </c>
    </row>
    <row r="1771" spans="1:5" x14ac:dyDescent="0.3">
      <c r="A1771" s="7">
        <v>223</v>
      </c>
      <c r="B1771" s="7" t="s">
        <v>271</v>
      </c>
      <c r="C1771" s="7">
        <v>-3</v>
      </c>
      <c r="D1771" s="10">
        <v>1E-3</v>
      </c>
      <c r="E1771" s="8">
        <v>0.60930376230000005</v>
      </c>
    </row>
    <row r="1772" spans="1:5" x14ac:dyDescent="0.3">
      <c r="A1772" s="5">
        <v>223</v>
      </c>
      <c r="B1772" s="5" t="s">
        <v>271</v>
      </c>
      <c r="C1772" s="5">
        <v>-2</v>
      </c>
      <c r="D1772" s="9">
        <v>0.01</v>
      </c>
      <c r="E1772" s="6">
        <v>0.61519492369999995</v>
      </c>
    </row>
    <row r="1773" spans="1:5" x14ac:dyDescent="0.3">
      <c r="A1773" s="7">
        <v>223</v>
      </c>
      <c r="B1773" s="7" t="s">
        <v>271</v>
      </c>
      <c r="C1773" s="7">
        <v>-1</v>
      </c>
      <c r="D1773" s="10">
        <v>0.1</v>
      </c>
      <c r="E1773" s="8">
        <v>0.37870388300000002</v>
      </c>
    </row>
    <row r="1774" spans="1:5" x14ac:dyDescent="0.3">
      <c r="A1774" s="5">
        <v>223</v>
      </c>
      <c r="B1774" s="5" t="s">
        <v>271</v>
      </c>
      <c r="C1774" s="5">
        <v>0</v>
      </c>
      <c r="D1774" s="9">
        <v>1</v>
      </c>
      <c r="E1774" s="6">
        <v>0.25956839840000001</v>
      </c>
    </row>
    <row r="1775" spans="1:5" x14ac:dyDescent="0.3">
      <c r="A1775" s="7">
        <v>223</v>
      </c>
      <c r="B1775" s="7" t="s">
        <v>271</v>
      </c>
      <c r="C1775" s="7">
        <v>1</v>
      </c>
      <c r="D1775" s="10">
        <v>10</v>
      </c>
      <c r="E1775" s="8">
        <v>0.23601807029999999</v>
      </c>
    </row>
    <row r="1776" spans="1:5" x14ac:dyDescent="0.3">
      <c r="A1776" s="5">
        <v>223</v>
      </c>
      <c r="B1776" s="5" t="s">
        <v>271</v>
      </c>
      <c r="C1776" s="5">
        <v>2</v>
      </c>
      <c r="D1776" s="9">
        <v>100</v>
      </c>
      <c r="E1776" s="6">
        <v>0.2378926428</v>
      </c>
    </row>
    <row r="1777" spans="1:5" x14ac:dyDescent="0.3">
      <c r="A1777" s="7">
        <v>223</v>
      </c>
      <c r="B1777" s="7" t="s">
        <v>271</v>
      </c>
      <c r="C1777" s="7">
        <v>3</v>
      </c>
      <c r="D1777" s="10">
        <v>1000</v>
      </c>
      <c r="E1777" s="8">
        <v>0.2377802517</v>
      </c>
    </row>
    <row r="1778" spans="1:5" x14ac:dyDescent="0.3">
      <c r="A1778" s="5">
        <v>224</v>
      </c>
      <c r="B1778" s="5" t="s">
        <v>272</v>
      </c>
      <c r="C1778" s="5">
        <v>-4</v>
      </c>
      <c r="D1778" s="9">
        <v>1E-4</v>
      </c>
      <c r="E1778" s="6">
        <v>0.45610171049999998</v>
      </c>
    </row>
    <row r="1779" spans="1:5" x14ac:dyDescent="0.3">
      <c r="A1779" s="7">
        <v>224</v>
      </c>
      <c r="B1779" s="7" t="s">
        <v>272</v>
      </c>
      <c r="C1779" s="7">
        <v>-3</v>
      </c>
      <c r="D1779" s="10">
        <v>1E-3</v>
      </c>
      <c r="E1779" s="8">
        <v>0.67685205690000005</v>
      </c>
    </row>
    <row r="1780" spans="1:5" x14ac:dyDescent="0.3">
      <c r="A1780" s="5">
        <v>224</v>
      </c>
      <c r="B1780" s="5" t="s">
        <v>272</v>
      </c>
      <c r="C1780" s="5">
        <v>-2</v>
      </c>
      <c r="D1780" s="9">
        <v>0.01</v>
      </c>
      <c r="E1780" s="6">
        <v>0.83251787170000002</v>
      </c>
    </row>
    <row r="1781" spans="1:5" x14ac:dyDescent="0.3">
      <c r="A1781" s="7">
        <v>224</v>
      </c>
      <c r="B1781" s="7" t="s">
        <v>272</v>
      </c>
      <c r="C1781" s="7">
        <v>-1</v>
      </c>
      <c r="D1781" s="10">
        <v>0.1</v>
      </c>
      <c r="E1781" s="8">
        <v>0.54722233740000004</v>
      </c>
    </row>
    <row r="1782" spans="1:5" x14ac:dyDescent="0.3">
      <c r="A1782" s="5">
        <v>224</v>
      </c>
      <c r="B1782" s="5" t="s">
        <v>272</v>
      </c>
      <c r="C1782" s="5">
        <v>0</v>
      </c>
      <c r="D1782" s="9">
        <v>1</v>
      </c>
      <c r="E1782" s="6">
        <v>0.45430981110000002</v>
      </c>
    </row>
    <row r="1783" spans="1:5" x14ac:dyDescent="0.3">
      <c r="A1783" s="7">
        <v>224</v>
      </c>
      <c r="B1783" s="7" t="s">
        <v>272</v>
      </c>
      <c r="C1783" s="7">
        <v>1</v>
      </c>
      <c r="D1783" s="10">
        <v>10</v>
      </c>
      <c r="E1783" s="8">
        <v>0.44282578500000003</v>
      </c>
    </row>
    <row r="1784" spans="1:5" x14ac:dyDescent="0.3">
      <c r="A1784" s="5">
        <v>224</v>
      </c>
      <c r="B1784" s="5" t="s">
        <v>272</v>
      </c>
      <c r="C1784" s="5">
        <v>2</v>
      </c>
      <c r="D1784" s="9">
        <v>100</v>
      </c>
      <c r="E1784" s="6">
        <v>0.44273884029999999</v>
      </c>
    </row>
    <row r="1785" spans="1:5" x14ac:dyDescent="0.3">
      <c r="A1785" s="7">
        <v>224</v>
      </c>
      <c r="B1785" s="7" t="s">
        <v>272</v>
      </c>
      <c r="C1785" s="7">
        <v>3</v>
      </c>
      <c r="D1785" s="10">
        <v>1000</v>
      </c>
      <c r="E1785" s="8">
        <v>0.4441944733</v>
      </c>
    </row>
    <row r="1786" spans="1:5" x14ac:dyDescent="0.3">
      <c r="A1786" s="5">
        <v>225</v>
      </c>
      <c r="B1786" s="5" t="s">
        <v>273</v>
      </c>
      <c r="C1786" s="5">
        <v>-4</v>
      </c>
      <c r="D1786" s="9">
        <v>1E-4</v>
      </c>
      <c r="E1786" s="6">
        <v>0.39833864860000001</v>
      </c>
    </row>
    <row r="1787" spans="1:5" x14ac:dyDescent="0.3">
      <c r="A1787" s="7">
        <v>225</v>
      </c>
      <c r="B1787" s="7" t="s">
        <v>273</v>
      </c>
      <c r="C1787" s="7">
        <v>-3</v>
      </c>
      <c r="D1787" s="10">
        <v>1E-3</v>
      </c>
      <c r="E1787" s="8">
        <v>0.51119882230000002</v>
      </c>
    </row>
    <row r="1788" spans="1:5" x14ac:dyDescent="0.3">
      <c r="A1788" s="5">
        <v>225</v>
      </c>
      <c r="B1788" s="5" t="s">
        <v>273</v>
      </c>
      <c r="C1788" s="5">
        <v>-2</v>
      </c>
      <c r="D1788" s="9">
        <v>0.01</v>
      </c>
      <c r="E1788" s="6">
        <v>0.81532936430000003</v>
      </c>
    </row>
    <row r="1789" spans="1:5" x14ac:dyDescent="0.3">
      <c r="A1789" s="7">
        <v>225</v>
      </c>
      <c r="B1789" s="7" t="s">
        <v>273</v>
      </c>
      <c r="C1789" s="7">
        <v>-1</v>
      </c>
      <c r="D1789" s="10">
        <v>0.1</v>
      </c>
      <c r="E1789" s="8">
        <v>0.75443840049999999</v>
      </c>
    </row>
    <row r="1790" spans="1:5" x14ac:dyDescent="0.3">
      <c r="A1790" s="5">
        <v>225</v>
      </c>
      <c r="B1790" s="5" t="s">
        <v>273</v>
      </c>
      <c r="C1790" s="5">
        <v>0</v>
      </c>
      <c r="D1790" s="9">
        <v>1</v>
      </c>
      <c r="E1790" s="6">
        <v>0.67679607399999997</v>
      </c>
    </row>
    <row r="1791" spans="1:5" x14ac:dyDescent="0.3">
      <c r="A1791" s="7">
        <v>225</v>
      </c>
      <c r="B1791" s="7" t="s">
        <v>273</v>
      </c>
      <c r="C1791" s="7">
        <v>1</v>
      </c>
      <c r="D1791" s="10">
        <v>10</v>
      </c>
      <c r="E1791" s="8">
        <v>0.66797770320000005</v>
      </c>
    </row>
    <row r="1792" spans="1:5" x14ac:dyDescent="0.3">
      <c r="A1792" s="5">
        <v>225</v>
      </c>
      <c r="B1792" s="5" t="s">
        <v>273</v>
      </c>
      <c r="C1792" s="5">
        <v>2</v>
      </c>
      <c r="D1792" s="9">
        <v>100</v>
      </c>
      <c r="E1792" s="6">
        <v>0.66830332130000003</v>
      </c>
    </row>
    <row r="1793" spans="1:5" x14ac:dyDescent="0.3">
      <c r="A1793" s="7">
        <v>225</v>
      </c>
      <c r="B1793" s="7" t="s">
        <v>273</v>
      </c>
      <c r="C1793" s="7">
        <v>3</v>
      </c>
      <c r="D1793" s="10">
        <v>1000</v>
      </c>
      <c r="E1793" s="8">
        <v>0.66856792939999998</v>
      </c>
    </row>
    <row r="1794" spans="1:5" x14ac:dyDescent="0.3">
      <c r="A1794" s="5">
        <v>226</v>
      </c>
      <c r="B1794" s="5" t="s">
        <v>274</v>
      </c>
      <c r="C1794" s="5">
        <v>-4</v>
      </c>
      <c r="D1794" s="9">
        <v>1E-4</v>
      </c>
      <c r="E1794" s="6">
        <v>0.44107317439999999</v>
      </c>
    </row>
    <row r="1795" spans="1:5" x14ac:dyDescent="0.3">
      <c r="A1795" s="7">
        <v>226</v>
      </c>
      <c r="B1795" s="7" t="s">
        <v>274</v>
      </c>
      <c r="C1795" s="7">
        <v>-3</v>
      </c>
      <c r="D1795" s="10">
        <v>1E-3</v>
      </c>
      <c r="E1795" s="8">
        <v>0.43592600970000001</v>
      </c>
    </row>
    <row r="1796" spans="1:5" x14ac:dyDescent="0.3">
      <c r="A1796" s="5">
        <v>226</v>
      </c>
      <c r="B1796" s="5" t="s">
        <v>274</v>
      </c>
      <c r="C1796" s="5">
        <v>-2</v>
      </c>
      <c r="D1796" s="9">
        <v>0.01</v>
      </c>
      <c r="E1796" s="6">
        <v>0.52923206769999998</v>
      </c>
    </row>
    <row r="1797" spans="1:5" x14ac:dyDescent="0.3">
      <c r="A1797" s="7">
        <v>226</v>
      </c>
      <c r="B1797" s="7" t="s">
        <v>274</v>
      </c>
      <c r="C1797" s="7">
        <v>-1</v>
      </c>
      <c r="D1797" s="10">
        <v>0.1</v>
      </c>
      <c r="E1797" s="8">
        <v>0.35004442099999999</v>
      </c>
    </row>
    <row r="1798" spans="1:5" x14ac:dyDescent="0.3">
      <c r="A1798" s="5">
        <v>226</v>
      </c>
      <c r="B1798" s="5" t="s">
        <v>274</v>
      </c>
      <c r="C1798" s="5">
        <v>0</v>
      </c>
      <c r="D1798" s="9">
        <v>1</v>
      </c>
      <c r="E1798" s="6">
        <v>0.1365963979</v>
      </c>
    </row>
    <row r="1799" spans="1:5" x14ac:dyDescent="0.3">
      <c r="A1799" s="7">
        <v>226</v>
      </c>
      <c r="B1799" s="7" t="s">
        <v>274</v>
      </c>
      <c r="C1799" s="7">
        <v>1</v>
      </c>
      <c r="D1799" s="10">
        <v>10</v>
      </c>
      <c r="E1799" s="8">
        <v>0.1005680623</v>
      </c>
    </row>
    <row r="1800" spans="1:5" x14ac:dyDescent="0.3">
      <c r="A1800" s="5">
        <v>226</v>
      </c>
      <c r="B1800" s="5" t="s">
        <v>274</v>
      </c>
      <c r="C1800" s="5">
        <v>2</v>
      </c>
      <c r="D1800" s="9">
        <v>100</v>
      </c>
      <c r="E1800" s="6">
        <v>0.1005680623</v>
      </c>
    </row>
    <row r="1801" spans="1:5" x14ac:dyDescent="0.3">
      <c r="A1801" s="7">
        <v>226</v>
      </c>
      <c r="B1801" s="7" t="s">
        <v>274</v>
      </c>
      <c r="C1801" s="7">
        <v>3</v>
      </c>
      <c r="D1801" s="10">
        <v>1000</v>
      </c>
      <c r="E1801" s="8">
        <v>0.1005680623</v>
      </c>
    </row>
    <row r="1802" spans="1:5" x14ac:dyDescent="0.3">
      <c r="A1802" s="5">
        <v>227</v>
      </c>
      <c r="B1802" s="5" t="s">
        <v>275</v>
      </c>
      <c r="C1802" s="5">
        <v>-4</v>
      </c>
      <c r="D1802" s="9">
        <v>1E-4</v>
      </c>
      <c r="E1802" s="6">
        <v>0.39582984360000001</v>
      </c>
    </row>
    <row r="1803" spans="1:5" x14ac:dyDescent="0.3">
      <c r="A1803" s="7">
        <v>227</v>
      </c>
      <c r="B1803" s="7" t="s">
        <v>275</v>
      </c>
      <c r="C1803" s="7">
        <v>-3</v>
      </c>
      <c r="D1803" s="10">
        <v>1E-3</v>
      </c>
      <c r="E1803" s="8">
        <v>0.41150187589999998</v>
      </c>
    </row>
    <row r="1804" spans="1:5" x14ac:dyDescent="0.3">
      <c r="A1804" s="5">
        <v>227</v>
      </c>
      <c r="B1804" s="5" t="s">
        <v>275</v>
      </c>
      <c r="C1804" s="5">
        <v>-2</v>
      </c>
      <c r="D1804" s="9">
        <v>0.01</v>
      </c>
      <c r="E1804" s="6">
        <v>0.6379521521</v>
      </c>
    </row>
    <row r="1805" spans="1:5" x14ac:dyDescent="0.3">
      <c r="A1805" s="7">
        <v>227</v>
      </c>
      <c r="B1805" s="7" t="s">
        <v>275</v>
      </c>
      <c r="C1805" s="7">
        <v>-1</v>
      </c>
      <c r="D1805" s="10">
        <v>0.1</v>
      </c>
      <c r="E1805" s="8">
        <v>0.91610648500000003</v>
      </c>
    </row>
    <row r="1806" spans="1:5" x14ac:dyDescent="0.3">
      <c r="A1806" s="5">
        <v>227</v>
      </c>
      <c r="B1806" s="5" t="s">
        <v>275</v>
      </c>
      <c r="C1806" s="5">
        <v>0</v>
      </c>
      <c r="D1806" s="9">
        <v>1</v>
      </c>
      <c r="E1806" s="6">
        <v>0.92673709019999995</v>
      </c>
    </row>
    <row r="1807" spans="1:5" x14ac:dyDescent="0.3">
      <c r="A1807" s="7">
        <v>227</v>
      </c>
      <c r="B1807" s="7" t="s">
        <v>275</v>
      </c>
      <c r="C1807" s="7">
        <v>1</v>
      </c>
      <c r="D1807" s="10">
        <v>10</v>
      </c>
      <c r="E1807" s="8">
        <v>0.92213114750000003</v>
      </c>
    </row>
    <row r="1808" spans="1:5" x14ac:dyDescent="0.3">
      <c r="A1808" s="5">
        <v>227</v>
      </c>
      <c r="B1808" s="5" t="s">
        <v>275</v>
      </c>
      <c r="C1808" s="5">
        <v>2</v>
      </c>
      <c r="D1808" s="9">
        <v>100</v>
      </c>
      <c r="E1808" s="6">
        <v>0.92213114750000003</v>
      </c>
    </row>
    <row r="1809" spans="1:5" x14ac:dyDescent="0.3">
      <c r="A1809" s="7">
        <v>227</v>
      </c>
      <c r="B1809" s="7" t="s">
        <v>275</v>
      </c>
      <c r="C1809" s="7">
        <v>3</v>
      </c>
      <c r="D1809" s="10">
        <v>1000</v>
      </c>
      <c r="E1809" s="8">
        <v>0.92213114750000003</v>
      </c>
    </row>
    <row r="1810" spans="1:5" x14ac:dyDescent="0.3">
      <c r="A1810" s="5">
        <v>228</v>
      </c>
      <c r="B1810" s="5" t="s">
        <v>277</v>
      </c>
      <c r="C1810" s="5">
        <v>-4</v>
      </c>
      <c r="D1810" s="9">
        <v>1E-4</v>
      </c>
      <c r="E1810" s="6">
        <v>0.57034634149999996</v>
      </c>
    </row>
    <row r="1811" spans="1:5" x14ac:dyDescent="0.3">
      <c r="A1811" s="7">
        <v>228</v>
      </c>
      <c r="B1811" s="7" t="s">
        <v>277</v>
      </c>
      <c r="C1811" s="7">
        <v>-3</v>
      </c>
      <c r="D1811" s="10">
        <v>1E-3</v>
      </c>
      <c r="E1811" s="8">
        <v>0.63808817200000001</v>
      </c>
    </row>
    <row r="1812" spans="1:5" x14ac:dyDescent="0.3">
      <c r="A1812" s="5">
        <v>228</v>
      </c>
      <c r="B1812" s="5" t="s">
        <v>277</v>
      </c>
      <c r="C1812" s="5">
        <v>-2</v>
      </c>
      <c r="D1812" s="9">
        <v>0.01</v>
      </c>
      <c r="E1812" s="6">
        <v>0.70183139530000005</v>
      </c>
    </row>
    <row r="1813" spans="1:5" x14ac:dyDescent="0.3">
      <c r="A1813" s="7">
        <v>228</v>
      </c>
      <c r="B1813" s="7" t="s">
        <v>277</v>
      </c>
      <c r="C1813" s="7">
        <v>-1</v>
      </c>
      <c r="D1813" s="10">
        <v>0.1</v>
      </c>
      <c r="E1813" s="8">
        <v>0.70197970659999998</v>
      </c>
    </row>
    <row r="1814" spans="1:5" x14ac:dyDescent="0.3">
      <c r="A1814" s="5">
        <v>228</v>
      </c>
      <c r="B1814" s="5" t="s">
        <v>277</v>
      </c>
      <c r="C1814" s="5">
        <v>0</v>
      </c>
      <c r="D1814" s="9">
        <v>1</v>
      </c>
      <c r="E1814" s="6">
        <v>0.102156962</v>
      </c>
    </row>
    <row r="1815" spans="1:5" x14ac:dyDescent="0.3">
      <c r="A1815" s="7">
        <v>228</v>
      </c>
      <c r="B1815" s="7" t="s">
        <v>277</v>
      </c>
      <c r="C1815" s="7">
        <v>1</v>
      </c>
      <c r="D1815" s="10">
        <v>10</v>
      </c>
      <c r="E1815" s="8">
        <v>-6.3291138999999998E-3</v>
      </c>
    </row>
    <row r="1816" spans="1:5" x14ac:dyDescent="0.3">
      <c r="A1816" s="5">
        <v>228</v>
      </c>
      <c r="B1816" s="5" t="s">
        <v>277</v>
      </c>
      <c r="C1816" s="5">
        <v>2</v>
      </c>
      <c r="D1816" s="9">
        <v>100</v>
      </c>
      <c r="E1816" s="6">
        <v>-6.3291138999999998E-3</v>
      </c>
    </row>
    <row r="1817" spans="1:5" x14ac:dyDescent="0.3">
      <c r="A1817" s="7">
        <v>228</v>
      </c>
      <c r="B1817" s="7" t="s">
        <v>277</v>
      </c>
      <c r="C1817" s="7">
        <v>3</v>
      </c>
      <c r="D1817" s="10">
        <v>1000</v>
      </c>
      <c r="E1817" s="8">
        <v>-6.3291138999999998E-3</v>
      </c>
    </row>
    <row r="1818" spans="1:5" x14ac:dyDescent="0.3">
      <c r="A1818" s="5">
        <v>230</v>
      </c>
      <c r="B1818" s="5" t="s">
        <v>279</v>
      </c>
      <c r="C1818" s="5">
        <v>-4</v>
      </c>
      <c r="D1818" s="9">
        <v>1E-4</v>
      </c>
      <c r="E1818" s="6">
        <v>0.1048959562</v>
      </c>
    </row>
    <row r="1819" spans="1:5" x14ac:dyDescent="0.3">
      <c r="A1819" s="5">
        <v>230</v>
      </c>
      <c r="B1819" s="5" t="s">
        <v>279</v>
      </c>
      <c r="C1819" s="5">
        <v>-3</v>
      </c>
      <c r="D1819" s="9">
        <v>1E-3</v>
      </c>
      <c r="E1819" s="6">
        <v>0.71670965580000001</v>
      </c>
    </row>
    <row r="1820" spans="1:5" x14ac:dyDescent="0.3">
      <c r="A1820" s="5">
        <v>230</v>
      </c>
      <c r="B1820" s="5" t="s">
        <v>279</v>
      </c>
      <c r="C1820" s="5">
        <v>-2</v>
      </c>
      <c r="D1820" s="9">
        <v>0.01</v>
      </c>
      <c r="E1820" s="6">
        <v>0.87945586779999996</v>
      </c>
    </row>
    <row r="1821" spans="1:5" x14ac:dyDescent="0.3">
      <c r="A1821" s="5">
        <v>230</v>
      </c>
      <c r="B1821" s="5" t="s">
        <v>279</v>
      </c>
      <c r="C1821" s="5">
        <v>-1</v>
      </c>
      <c r="D1821" s="9">
        <v>0.1</v>
      </c>
      <c r="E1821" s="6">
        <v>0.55647634349999997</v>
      </c>
    </row>
    <row r="1822" spans="1:5" x14ac:dyDescent="0.3">
      <c r="A1822" s="5">
        <v>230</v>
      </c>
      <c r="B1822" s="5" t="s">
        <v>279</v>
      </c>
      <c r="C1822" s="5">
        <v>0</v>
      </c>
      <c r="D1822" s="9">
        <v>1</v>
      </c>
      <c r="E1822" s="6">
        <v>0.3698134897</v>
      </c>
    </row>
    <row r="1823" spans="1:5" x14ac:dyDescent="0.3">
      <c r="A1823" s="5">
        <v>230</v>
      </c>
      <c r="B1823" s="5" t="s">
        <v>279</v>
      </c>
      <c r="C1823" s="5">
        <v>1</v>
      </c>
      <c r="D1823" s="9">
        <v>10</v>
      </c>
      <c r="E1823" s="6">
        <v>0.34788919130000001</v>
      </c>
    </row>
    <row r="1824" spans="1:5" x14ac:dyDescent="0.3">
      <c r="A1824" s="5">
        <v>230</v>
      </c>
      <c r="B1824" s="5" t="s">
        <v>279</v>
      </c>
      <c r="C1824" s="5">
        <v>2</v>
      </c>
      <c r="D1824" s="9">
        <v>100</v>
      </c>
      <c r="E1824" s="6">
        <v>0.34059772570000002</v>
      </c>
    </row>
    <row r="1825" spans="1:5" x14ac:dyDescent="0.3">
      <c r="A1825" s="5">
        <v>230</v>
      </c>
      <c r="B1825" s="5" t="s">
        <v>279</v>
      </c>
      <c r="C1825" s="5">
        <v>3</v>
      </c>
      <c r="D1825" s="9">
        <v>1000</v>
      </c>
      <c r="E1825" s="6">
        <v>0.34577020250000001</v>
      </c>
    </row>
    <row r="1826" spans="1:5" x14ac:dyDescent="0.3">
      <c r="A1826" s="5">
        <v>231</v>
      </c>
      <c r="B1826" s="5" t="s">
        <v>280</v>
      </c>
      <c r="C1826" s="5">
        <v>-4</v>
      </c>
      <c r="D1826" s="9">
        <v>1E-4</v>
      </c>
      <c r="E1826" s="6">
        <v>0.3409857443</v>
      </c>
    </row>
    <row r="1827" spans="1:5" x14ac:dyDescent="0.3">
      <c r="A1827" s="5">
        <v>231</v>
      </c>
      <c r="B1827" s="5" t="s">
        <v>280</v>
      </c>
      <c r="C1827" s="5">
        <v>-3</v>
      </c>
      <c r="D1827" s="9">
        <v>1E-3</v>
      </c>
      <c r="E1827" s="6">
        <v>0.66969394429999995</v>
      </c>
    </row>
    <row r="1828" spans="1:5" x14ac:dyDescent="0.3">
      <c r="A1828" s="5">
        <v>231</v>
      </c>
      <c r="B1828" s="5" t="s">
        <v>280</v>
      </c>
      <c r="C1828" s="5">
        <v>-2</v>
      </c>
      <c r="D1828" s="9">
        <v>0.01</v>
      </c>
      <c r="E1828" s="6">
        <v>0.81665060489999997</v>
      </c>
    </row>
    <row r="1829" spans="1:5" x14ac:dyDescent="0.3">
      <c r="A1829" s="5">
        <v>231</v>
      </c>
      <c r="B1829" s="5" t="s">
        <v>280</v>
      </c>
      <c r="C1829" s="5">
        <v>-1</v>
      </c>
      <c r="D1829" s="9">
        <v>0.1</v>
      </c>
      <c r="E1829" s="6">
        <v>0.64243387529999996</v>
      </c>
    </row>
    <row r="1830" spans="1:5" x14ac:dyDescent="0.3">
      <c r="A1830" s="5">
        <v>231</v>
      </c>
      <c r="B1830" s="5" t="s">
        <v>280</v>
      </c>
      <c r="C1830" s="5">
        <v>0</v>
      </c>
      <c r="D1830" s="9">
        <v>1</v>
      </c>
      <c r="E1830" s="6">
        <v>0.58642996629999999</v>
      </c>
    </row>
    <row r="1831" spans="1:5" x14ac:dyDescent="0.3">
      <c r="A1831" s="5">
        <v>231</v>
      </c>
      <c r="B1831" s="5" t="s">
        <v>280</v>
      </c>
      <c r="C1831" s="5">
        <v>1</v>
      </c>
      <c r="D1831" s="9">
        <v>10</v>
      </c>
      <c r="E1831" s="6">
        <v>0.58235013469999997</v>
      </c>
    </row>
    <row r="1832" spans="1:5" x14ac:dyDescent="0.3">
      <c r="A1832" s="5">
        <v>231</v>
      </c>
      <c r="B1832" s="5" t="s">
        <v>280</v>
      </c>
      <c r="C1832" s="5">
        <v>2</v>
      </c>
      <c r="D1832" s="9">
        <v>100</v>
      </c>
      <c r="E1832" s="6">
        <v>0.58215955460000002</v>
      </c>
    </row>
    <row r="1833" spans="1:5" x14ac:dyDescent="0.3">
      <c r="A1833" s="5">
        <v>231</v>
      </c>
      <c r="B1833" s="5" t="s">
        <v>280</v>
      </c>
      <c r="C1833" s="5">
        <v>3</v>
      </c>
      <c r="D1833" s="9">
        <v>1000</v>
      </c>
      <c r="E1833" s="6">
        <v>0.58384503539999999</v>
      </c>
    </row>
    <row r="1834" spans="1:5" x14ac:dyDescent="0.3">
      <c r="A1834" s="5">
        <v>232</v>
      </c>
      <c r="B1834" s="5" t="s">
        <v>281</v>
      </c>
      <c r="C1834" s="5">
        <v>-4</v>
      </c>
      <c r="D1834" s="9">
        <v>1E-4</v>
      </c>
      <c r="E1834" s="6">
        <v>0.3329717847</v>
      </c>
    </row>
    <row r="1835" spans="1:5" x14ac:dyDescent="0.3">
      <c r="A1835" s="5">
        <v>232</v>
      </c>
      <c r="B1835" s="5" t="s">
        <v>281</v>
      </c>
      <c r="C1835" s="5">
        <v>-3</v>
      </c>
      <c r="D1835" s="9">
        <v>1E-3</v>
      </c>
      <c r="E1835" s="6">
        <v>0.45608739929999997</v>
      </c>
    </row>
    <row r="1836" spans="1:5" x14ac:dyDescent="0.3">
      <c r="A1836" s="5">
        <v>232</v>
      </c>
      <c r="B1836" s="5" t="s">
        <v>281</v>
      </c>
      <c r="C1836" s="5">
        <v>-2</v>
      </c>
      <c r="D1836" s="9">
        <v>0.01</v>
      </c>
      <c r="E1836" s="6">
        <v>0.75056468610000004</v>
      </c>
    </row>
    <row r="1837" spans="1:5" x14ac:dyDescent="0.3">
      <c r="A1837" s="5">
        <v>232</v>
      </c>
      <c r="B1837" s="5" t="s">
        <v>281</v>
      </c>
      <c r="C1837" s="5">
        <v>-1</v>
      </c>
      <c r="D1837" s="9">
        <v>0.1</v>
      </c>
      <c r="E1837" s="6">
        <v>0.11929359790000001</v>
      </c>
    </row>
    <row r="1838" spans="1:5" x14ac:dyDescent="0.3">
      <c r="A1838" s="5">
        <v>232</v>
      </c>
      <c r="B1838" s="5" t="s">
        <v>281</v>
      </c>
      <c r="C1838" s="5">
        <v>0</v>
      </c>
      <c r="D1838" s="9">
        <v>1</v>
      </c>
      <c r="E1838" s="6">
        <v>-0.14431317560000001</v>
      </c>
    </row>
    <row r="1839" spans="1:5" x14ac:dyDescent="0.3">
      <c r="A1839" s="5">
        <v>232</v>
      </c>
      <c r="B1839" s="5" t="s">
        <v>281</v>
      </c>
      <c r="C1839" s="5">
        <v>1</v>
      </c>
      <c r="D1839" s="9">
        <v>10</v>
      </c>
      <c r="E1839" s="6">
        <v>-0.15862427630000001</v>
      </c>
    </row>
    <row r="1840" spans="1:5" x14ac:dyDescent="0.3">
      <c r="A1840" s="5">
        <v>232</v>
      </c>
      <c r="B1840" s="5" t="s">
        <v>281</v>
      </c>
      <c r="C1840" s="5">
        <v>2</v>
      </c>
      <c r="D1840" s="9">
        <v>100</v>
      </c>
      <c r="E1840" s="6">
        <v>-0.15700317929999999</v>
      </c>
    </row>
    <row r="1841" spans="1:5" x14ac:dyDescent="0.3">
      <c r="A1841" s="5">
        <v>232</v>
      </c>
      <c r="B1841" s="5" t="s">
        <v>281</v>
      </c>
      <c r="C1841" s="5">
        <v>3</v>
      </c>
      <c r="D1841" s="9">
        <v>1000</v>
      </c>
      <c r="E1841" s="6">
        <v>-0.1562230849</v>
      </c>
    </row>
    <row r="1842" spans="1:5" x14ac:dyDescent="0.3">
      <c r="A1842" s="5">
        <v>233</v>
      </c>
      <c r="B1842" s="5" t="s">
        <v>282</v>
      </c>
      <c r="C1842" s="5">
        <v>-4</v>
      </c>
      <c r="D1842" s="9">
        <v>1E-4</v>
      </c>
      <c r="E1842" s="6">
        <v>0.21711350099999999</v>
      </c>
    </row>
    <row r="1843" spans="1:5" x14ac:dyDescent="0.3">
      <c r="A1843" s="5">
        <v>233</v>
      </c>
      <c r="B1843" s="5" t="s">
        <v>282</v>
      </c>
      <c r="C1843" s="5">
        <v>-3</v>
      </c>
      <c r="D1843" s="9">
        <v>1E-3</v>
      </c>
      <c r="E1843" s="6">
        <v>0.57432808710000005</v>
      </c>
    </row>
    <row r="1844" spans="1:5" x14ac:dyDescent="0.3">
      <c r="A1844" s="5">
        <v>233</v>
      </c>
      <c r="B1844" s="5" t="s">
        <v>282</v>
      </c>
      <c r="C1844" s="5">
        <v>-2</v>
      </c>
      <c r="D1844" s="9">
        <v>0.01</v>
      </c>
      <c r="E1844" s="6">
        <v>0.89084864249999995</v>
      </c>
    </row>
    <row r="1845" spans="1:5" x14ac:dyDescent="0.3">
      <c r="A1845" s="5">
        <v>233</v>
      </c>
      <c r="B1845" s="5" t="s">
        <v>282</v>
      </c>
      <c r="C1845" s="5">
        <v>-1</v>
      </c>
      <c r="D1845" s="9">
        <v>0.1</v>
      </c>
      <c r="E1845" s="6">
        <v>0.62335219119999996</v>
      </c>
    </row>
    <row r="1846" spans="1:5" x14ac:dyDescent="0.3">
      <c r="A1846" s="5">
        <v>233</v>
      </c>
      <c r="B1846" s="5" t="s">
        <v>282</v>
      </c>
      <c r="C1846" s="5">
        <v>0</v>
      </c>
      <c r="D1846" s="9">
        <v>1</v>
      </c>
      <c r="E1846" s="6">
        <v>0.51472621630000004</v>
      </c>
    </row>
    <row r="1847" spans="1:5" x14ac:dyDescent="0.3">
      <c r="A1847" s="5">
        <v>233</v>
      </c>
      <c r="B1847" s="5" t="s">
        <v>282</v>
      </c>
      <c r="C1847" s="5">
        <v>1</v>
      </c>
      <c r="D1847" s="9">
        <v>10</v>
      </c>
      <c r="E1847" s="6">
        <v>0.50246554040000002</v>
      </c>
    </row>
    <row r="1848" spans="1:5" x14ac:dyDescent="0.3">
      <c r="A1848" s="5">
        <v>233</v>
      </c>
      <c r="B1848" s="5" t="s">
        <v>282</v>
      </c>
      <c r="C1848" s="5">
        <v>2</v>
      </c>
      <c r="D1848" s="9">
        <v>100</v>
      </c>
      <c r="E1848" s="6">
        <v>0.50241991419999998</v>
      </c>
    </row>
    <row r="1849" spans="1:5" x14ac:dyDescent="0.3">
      <c r="A1849" s="5">
        <v>233</v>
      </c>
      <c r="B1849" s="5" t="s">
        <v>282</v>
      </c>
      <c r="C1849" s="5">
        <v>3</v>
      </c>
      <c r="D1849" s="9">
        <v>1000</v>
      </c>
      <c r="E1849" s="6">
        <v>0.50254686910000002</v>
      </c>
    </row>
    <row r="1850" spans="1:5" x14ac:dyDescent="0.3">
      <c r="A1850" s="5">
        <v>234</v>
      </c>
      <c r="B1850" s="5" t="s">
        <v>283</v>
      </c>
      <c r="C1850" s="5">
        <v>-4</v>
      </c>
      <c r="D1850" s="9">
        <v>1E-4</v>
      </c>
      <c r="E1850" s="6">
        <v>3.6086699999999999E-2</v>
      </c>
    </row>
    <row r="1851" spans="1:5" x14ac:dyDescent="0.3">
      <c r="A1851" s="5">
        <v>234</v>
      </c>
      <c r="B1851" s="5" t="s">
        <v>283</v>
      </c>
      <c r="C1851" s="5">
        <v>-3</v>
      </c>
      <c r="D1851" s="9">
        <v>1E-3</v>
      </c>
      <c r="E1851" s="6">
        <v>0.58547433859999998</v>
      </c>
    </row>
    <row r="1852" spans="1:5" x14ac:dyDescent="0.3">
      <c r="A1852" s="5">
        <v>234</v>
      </c>
      <c r="B1852" s="5" t="s">
        <v>283</v>
      </c>
      <c r="C1852" s="5">
        <v>-2</v>
      </c>
      <c r="D1852" s="9">
        <v>0.01</v>
      </c>
      <c r="E1852" s="6">
        <v>0.55502629650000002</v>
      </c>
    </row>
    <row r="1853" spans="1:5" x14ac:dyDescent="0.3">
      <c r="A1853" s="5">
        <v>234</v>
      </c>
      <c r="B1853" s="5" t="s">
        <v>283</v>
      </c>
      <c r="C1853" s="5">
        <v>-1</v>
      </c>
      <c r="D1853" s="9">
        <v>0.1</v>
      </c>
      <c r="E1853" s="6">
        <v>-0.41643893129999998</v>
      </c>
    </row>
    <row r="1854" spans="1:5" x14ac:dyDescent="0.3">
      <c r="A1854" s="5">
        <v>234</v>
      </c>
      <c r="B1854" s="5" t="s">
        <v>283</v>
      </c>
      <c r="C1854" s="5">
        <v>0</v>
      </c>
      <c r="D1854" s="9">
        <v>1</v>
      </c>
      <c r="E1854" s="6">
        <v>-0.91573505089999996</v>
      </c>
    </row>
    <row r="1855" spans="1:5" x14ac:dyDescent="0.3">
      <c r="A1855" s="5">
        <v>234</v>
      </c>
      <c r="B1855" s="5" t="s">
        <v>283</v>
      </c>
      <c r="C1855" s="5">
        <v>1</v>
      </c>
      <c r="D1855" s="9">
        <v>10</v>
      </c>
      <c r="E1855" s="6">
        <v>-0.93571766329999995</v>
      </c>
    </row>
    <row r="1856" spans="1:5" x14ac:dyDescent="0.3">
      <c r="A1856" s="5">
        <v>234</v>
      </c>
      <c r="B1856" s="5" t="s">
        <v>283</v>
      </c>
      <c r="C1856" s="5">
        <v>2</v>
      </c>
      <c r="D1856" s="9">
        <v>100</v>
      </c>
      <c r="E1856" s="6">
        <v>-0.95576335879999996</v>
      </c>
    </row>
    <row r="1857" spans="1:5" x14ac:dyDescent="0.3">
      <c r="A1857" s="5">
        <v>234</v>
      </c>
      <c r="B1857" s="5" t="s">
        <v>283</v>
      </c>
      <c r="C1857" s="5">
        <v>3</v>
      </c>
      <c r="D1857" s="9">
        <v>1000</v>
      </c>
      <c r="E1857" s="6">
        <v>-0.9356676209</v>
      </c>
    </row>
    <row r="1858" spans="1:5" x14ac:dyDescent="0.3">
      <c r="A1858" s="5">
        <v>235</v>
      </c>
      <c r="B1858" s="5" t="s">
        <v>284</v>
      </c>
      <c r="C1858" s="5">
        <v>-4</v>
      </c>
      <c r="D1858" s="9">
        <v>1E-4</v>
      </c>
      <c r="E1858" s="6">
        <v>0.35615656950000002</v>
      </c>
    </row>
    <row r="1859" spans="1:5" x14ac:dyDescent="0.3">
      <c r="A1859" s="5">
        <v>235</v>
      </c>
      <c r="B1859" s="5" t="s">
        <v>284</v>
      </c>
      <c r="C1859" s="5">
        <v>-3</v>
      </c>
      <c r="D1859" s="9">
        <v>1E-3</v>
      </c>
      <c r="E1859" s="6">
        <v>0.54471593870000001</v>
      </c>
    </row>
    <row r="1860" spans="1:5" x14ac:dyDescent="0.3">
      <c r="A1860" s="5">
        <v>235</v>
      </c>
      <c r="B1860" s="5" t="s">
        <v>284</v>
      </c>
      <c r="C1860" s="5">
        <v>-2</v>
      </c>
      <c r="D1860" s="9">
        <v>0.01</v>
      </c>
      <c r="E1860" s="6">
        <v>0.8338476561</v>
      </c>
    </row>
    <row r="1861" spans="1:5" x14ac:dyDescent="0.3">
      <c r="A1861" s="5">
        <v>235</v>
      </c>
      <c r="B1861" s="5" t="s">
        <v>284</v>
      </c>
      <c r="C1861" s="5">
        <v>-1</v>
      </c>
      <c r="D1861" s="9">
        <v>0.1</v>
      </c>
      <c r="E1861" s="6">
        <v>0.47809278300000002</v>
      </c>
    </row>
    <row r="1862" spans="1:5" x14ac:dyDescent="0.3">
      <c r="A1862" s="5">
        <v>235</v>
      </c>
      <c r="B1862" s="5" t="s">
        <v>284</v>
      </c>
      <c r="C1862" s="5">
        <v>0</v>
      </c>
      <c r="D1862" s="9">
        <v>1</v>
      </c>
      <c r="E1862" s="6">
        <v>0.28782801099999999</v>
      </c>
    </row>
    <row r="1863" spans="1:5" x14ac:dyDescent="0.3">
      <c r="A1863" s="5">
        <v>235</v>
      </c>
      <c r="B1863" s="5" t="s">
        <v>284</v>
      </c>
      <c r="C1863" s="5">
        <v>1</v>
      </c>
      <c r="D1863" s="9">
        <v>10</v>
      </c>
      <c r="E1863" s="6">
        <v>0.26506686429999998</v>
      </c>
    </row>
    <row r="1864" spans="1:5" x14ac:dyDescent="0.3">
      <c r="A1864" s="5">
        <v>235</v>
      </c>
      <c r="B1864" s="5" t="s">
        <v>284</v>
      </c>
      <c r="C1864" s="5">
        <v>2</v>
      </c>
      <c r="D1864" s="9">
        <v>100</v>
      </c>
      <c r="E1864" s="6">
        <v>0.26544130440000002</v>
      </c>
    </row>
    <row r="1865" spans="1:5" x14ac:dyDescent="0.3">
      <c r="A1865" s="5">
        <v>235</v>
      </c>
      <c r="B1865" s="5" t="s">
        <v>284</v>
      </c>
      <c r="C1865" s="5">
        <v>3</v>
      </c>
      <c r="D1865" s="9">
        <v>1000</v>
      </c>
      <c r="E1865" s="6">
        <v>0.26602176179999998</v>
      </c>
    </row>
    <row r="1866" spans="1:5" x14ac:dyDescent="0.3">
      <c r="A1866" s="5">
        <v>236</v>
      </c>
      <c r="B1866" s="5" t="s">
        <v>285</v>
      </c>
      <c r="C1866" s="5">
        <v>-4</v>
      </c>
      <c r="D1866" s="9">
        <v>1E-4</v>
      </c>
      <c r="E1866" s="6">
        <v>0.32604301330000002</v>
      </c>
    </row>
    <row r="1867" spans="1:5" x14ac:dyDescent="0.3">
      <c r="A1867" s="5">
        <v>236</v>
      </c>
      <c r="B1867" s="5" t="s">
        <v>285</v>
      </c>
      <c r="C1867" s="5">
        <v>-3</v>
      </c>
      <c r="D1867" s="9">
        <v>1E-3</v>
      </c>
      <c r="E1867" s="6">
        <v>0.70817090800000004</v>
      </c>
    </row>
    <row r="1868" spans="1:5" x14ac:dyDescent="0.3">
      <c r="A1868" s="5">
        <v>236</v>
      </c>
      <c r="B1868" s="5" t="s">
        <v>285</v>
      </c>
      <c r="C1868" s="5">
        <v>-2</v>
      </c>
      <c r="D1868" s="9">
        <v>0.01</v>
      </c>
      <c r="E1868" s="6">
        <v>0.83723100080000001</v>
      </c>
    </row>
    <row r="1869" spans="1:5" x14ac:dyDescent="0.3">
      <c r="A1869" s="5">
        <v>236</v>
      </c>
      <c r="B1869" s="5" t="s">
        <v>285</v>
      </c>
      <c r="C1869" s="5">
        <v>-1</v>
      </c>
      <c r="D1869" s="9">
        <v>0.1</v>
      </c>
      <c r="E1869" s="6">
        <v>0.6432577706</v>
      </c>
    </row>
    <row r="1870" spans="1:5" x14ac:dyDescent="0.3">
      <c r="A1870" s="5">
        <v>236</v>
      </c>
      <c r="B1870" s="5" t="s">
        <v>285</v>
      </c>
      <c r="C1870" s="5">
        <v>0</v>
      </c>
      <c r="D1870" s="9">
        <v>1</v>
      </c>
      <c r="E1870" s="6">
        <v>0.55892257089999997</v>
      </c>
    </row>
    <row r="1871" spans="1:5" x14ac:dyDescent="0.3">
      <c r="A1871" s="5">
        <v>236</v>
      </c>
      <c r="B1871" s="5" t="s">
        <v>285</v>
      </c>
      <c r="C1871" s="5">
        <v>1</v>
      </c>
      <c r="D1871" s="9">
        <v>10</v>
      </c>
      <c r="E1871" s="6">
        <v>0.55160128779999995</v>
      </c>
    </row>
    <row r="1872" spans="1:5" x14ac:dyDescent="0.3">
      <c r="A1872" s="5">
        <v>236</v>
      </c>
      <c r="B1872" s="5" t="s">
        <v>285</v>
      </c>
      <c r="C1872" s="5">
        <v>2</v>
      </c>
      <c r="D1872" s="9">
        <v>100</v>
      </c>
      <c r="E1872" s="6">
        <v>0.5525507825</v>
      </c>
    </row>
    <row r="1873" spans="1:5" x14ac:dyDescent="0.3">
      <c r="A1873" s="5">
        <v>236</v>
      </c>
      <c r="B1873" s="5" t="s">
        <v>285</v>
      </c>
      <c r="C1873" s="5">
        <v>3</v>
      </c>
      <c r="D1873" s="9">
        <v>1000</v>
      </c>
      <c r="E1873" s="6">
        <v>0.55192325129999997</v>
      </c>
    </row>
    <row r="1874" spans="1:5" x14ac:dyDescent="0.3">
      <c r="A1874" s="5">
        <v>237</v>
      </c>
      <c r="B1874" s="5" t="s">
        <v>286</v>
      </c>
      <c r="C1874" s="5">
        <v>-4</v>
      </c>
      <c r="D1874" s="9">
        <v>1E-4</v>
      </c>
      <c r="E1874" s="6">
        <v>0.59369825259999998</v>
      </c>
    </row>
    <row r="1875" spans="1:5" x14ac:dyDescent="0.3">
      <c r="A1875" s="5">
        <v>237</v>
      </c>
      <c r="B1875" s="5" t="s">
        <v>286</v>
      </c>
      <c r="C1875" s="5">
        <v>-3</v>
      </c>
      <c r="D1875" s="9">
        <v>1E-3</v>
      </c>
      <c r="E1875" s="6">
        <v>0.77521491220000005</v>
      </c>
    </row>
    <row r="1876" spans="1:5" x14ac:dyDescent="0.3">
      <c r="A1876" s="5">
        <v>237</v>
      </c>
      <c r="B1876" s="5" t="s">
        <v>286</v>
      </c>
      <c r="C1876" s="5">
        <v>-2</v>
      </c>
      <c r="D1876" s="9">
        <v>0.01</v>
      </c>
      <c r="E1876" s="6">
        <v>0.6607291354</v>
      </c>
    </row>
    <row r="1877" spans="1:5" x14ac:dyDescent="0.3">
      <c r="A1877" s="5">
        <v>237</v>
      </c>
      <c r="B1877" s="5" t="s">
        <v>286</v>
      </c>
      <c r="C1877" s="5">
        <v>-1</v>
      </c>
      <c r="D1877" s="9">
        <v>0.1</v>
      </c>
      <c r="E1877" s="6">
        <v>5.8765232799999997E-2</v>
      </c>
    </row>
    <row r="1878" spans="1:5" x14ac:dyDescent="0.3">
      <c r="A1878" s="5">
        <v>237</v>
      </c>
      <c r="B1878" s="5" t="s">
        <v>286</v>
      </c>
      <c r="C1878" s="5">
        <v>0</v>
      </c>
      <c r="D1878" s="9">
        <v>1</v>
      </c>
      <c r="E1878" s="6">
        <v>-0.17741638739999999</v>
      </c>
    </row>
    <row r="1879" spans="1:5" x14ac:dyDescent="0.3">
      <c r="A1879" s="5">
        <v>237</v>
      </c>
      <c r="B1879" s="5" t="s">
        <v>286</v>
      </c>
      <c r="C1879" s="5">
        <v>1</v>
      </c>
      <c r="D1879" s="9">
        <v>10</v>
      </c>
      <c r="E1879" s="6">
        <v>-0.1964928125</v>
      </c>
    </row>
    <row r="1880" spans="1:5" x14ac:dyDescent="0.3">
      <c r="A1880" s="5">
        <v>237</v>
      </c>
      <c r="B1880" s="5" t="s">
        <v>286</v>
      </c>
      <c r="C1880" s="5">
        <v>2</v>
      </c>
      <c r="D1880" s="9">
        <v>100</v>
      </c>
      <c r="E1880" s="6">
        <v>-0.1860687399</v>
      </c>
    </row>
    <row r="1881" spans="1:5" x14ac:dyDescent="0.3">
      <c r="A1881" s="5">
        <v>237</v>
      </c>
      <c r="B1881" s="5" t="s">
        <v>286</v>
      </c>
      <c r="C1881" s="5">
        <v>3</v>
      </c>
      <c r="D1881" s="9">
        <v>1000</v>
      </c>
      <c r="E1881" s="6">
        <v>-0.1848287907</v>
      </c>
    </row>
    <row r="1882" spans="1:5" x14ac:dyDescent="0.3">
      <c r="A1882" s="5">
        <v>238</v>
      </c>
      <c r="B1882" s="5" t="s">
        <v>287</v>
      </c>
      <c r="C1882" s="5">
        <v>-4</v>
      </c>
      <c r="D1882" s="9">
        <v>1E-4</v>
      </c>
      <c r="E1882" s="6">
        <v>0.59773942729999996</v>
      </c>
    </row>
    <row r="1883" spans="1:5" x14ac:dyDescent="0.3">
      <c r="A1883" s="5">
        <v>238</v>
      </c>
      <c r="B1883" s="5" t="s">
        <v>287</v>
      </c>
      <c r="C1883" s="5">
        <v>-3</v>
      </c>
      <c r="D1883" s="9">
        <v>1E-3</v>
      </c>
      <c r="E1883" s="6">
        <v>0.68842093810000005</v>
      </c>
    </row>
    <row r="1884" spans="1:5" x14ac:dyDescent="0.3">
      <c r="A1884" s="5">
        <v>238</v>
      </c>
      <c r="B1884" s="5" t="s">
        <v>287</v>
      </c>
      <c r="C1884" s="5">
        <v>-2</v>
      </c>
      <c r="D1884" s="9">
        <v>0.01</v>
      </c>
      <c r="E1884" s="6">
        <v>0.38552016249999999</v>
      </c>
    </row>
    <row r="1885" spans="1:5" x14ac:dyDescent="0.3">
      <c r="A1885" s="5">
        <v>238</v>
      </c>
      <c r="B1885" s="5" t="s">
        <v>287</v>
      </c>
      <c r="C1885" s="5">
        <v>-1</v>
      </c>
      <c r="D1885" s="9">
        <v>0.1</v>
      </c>
      <c r="E1885" s="6">
        <v>-0.23668989330000001</v>
      </c>
    </row>
    <row r="1886" spans="1:5" x14ac:dyDescent="0.3">
      <c r="A1886" s="5">
        <v>238</v>
      </c>
      <c r="B1886" s="5" t="s">
        <v>287</v>
      </c>
      <c r="C1886" s="5">
        <v>0</v>
      </c>
      <c r="D1886" s="9">
        <v>1</v>
      </c>
      <c r="E1886" s="6">
        <v>-0.61565830369999996</v>
      </c>
    </row>
    <row r="1887" spans="1:5" x14ac:dyDescent="0.3">
      <c r="A1887" s="5">
        <v>238</v>
      </c>
      <c r="B1887" s="5" t="s">
        <v>287</v>
      </c>
      <c r="C1887" s="5">
        <v>1</v>
      </c>
      <c r="D1887" s="9">
        <v>10</v>
      </c>
      <c r="E1887" s="6">
        <v>-0.66378872519999998</v>
      </c>
    </row>
    <row r="1888" spans="1:5" x14ac:dyDescent="0.3">
      <c r="A1888" s="5">
        <v>238</v>
      </c>
      <c r="B1888" s="5" t="s">
        <v>287</v>
      </c>
      <c r="C1888" s="5">
        <v>2</v>
      </c>
      <c r="D1888" s="9">
        <v>100</v>
      </c>
      <c r="E1888" s="6">
        <v>-0.66378872519999998</v>
      </c>
    </row>
    <row r="1889" spans="1:5" x14ac:dyDescent="0.3">
      <c r="A1889" s="5">
        <v>238</v>
      </c>
      <c r="B1889" s="5" t="s">
        <v>287</v>
      </c>
      <c r="C1889" s="5">
        <v>3</v>
      </c>
      <c r="D1889" s="9">
        <v>1000</v>
      </c>
      <c r="E1889" s="6">
        <v>-0.66378872519999998</v>
      </c>
    </row>
    <row r="1890" spans="1:5" x14ac:dyDescent="0.3">
      <c r="A1890" s="5">
        <v>239</v>
      </c>
      <c r="B1890" s="5" t="s">
        <v>288</v>
      </c>
      <c r="C1890" s="5">
        <v>-4</v>
      </c>
      <c r="D1890" s="9">
        <v>1E-4</v>
      </c>
      <c r="E1890" s="6">
        <v>0.25868416970000002</v>
      </c>
    </row>
    <row r="1891" spans="1:5" x14ac:dyDescent="0.3">
      <c r="A1891" s="5">
        <v>239</v>
      </c>
      <c r="B1891" s="5" t="s">
        <v>288</v>
      </c>
      <c r="C1891" s="5">
        <v>-3</v>
      </c>
      <c r="D1891" s="9">
        <v>1E-3</v>
      </c>
      <c r="E1891" s="6">
        <v>0.66106726569999996</v>
      </c>
    </row>
    <row r="1892" spans="1:5" x14ac:dyDescent="0.3">
      <c r="A1892" s="5">
        <v>239</v>
      </c>
      <c r="B1892" s="5" t="s">
        <v>288</v>
      </c>
      <c r="C1892" s="5">
        <v>-2</v>
      </c>
      <c r="D1892" s="9">
        <v>0.01</v>
      </c>
      <c r="E1892" s="6">
        <v>0.34170745829999999</v>
      </c>
    </row>
    <row r="1893" spans="1:5" x14ac:dyDescent="0.3">
      <c r="A1893" s="5">
        <v>239</v>
      </c>
      <c r="B1893" s="5" t="s">
        <v>288</v>
      </c>
      <c r="C1893" s="5">
        <v>-1</v>
      </c>
      <c r="D1893" s="9">
        <v>0.1</v>
      </c>
      <c r="E1893" s="6">
        <v>-0.38754826399999998</v>
      </c>
    </row>
    <row r="1894" spans="1:5" x14ac:dyDescent="0.3">
      <c r="A1894" s="5">
        <v>239</v>
      </c>
      <c r="B1894" s="5" t="s">
        <v>288</v>
      </c>
      <c r="C1894" s="5">
        <v>0</v>
      </c>
      <c r="D1894" s="9">
        <v>1</v>
      </c>
      <c r="E1894" s="6">
        <v>-0.73989331059999996</v>
      </c>
    </row>
    <row r="1895" spans="1:5" x14ac:dyDescent="0.3">
      <c r="A1895" s="5">
        <v>239</v>
      </c>
      <c r="B1895" s="5" t="s">
        <v>288</v>
      </c>
      <c r="C1895" s="5">
        <v>1</v>
      </c>
      <c r="D1895" s="9">
        <v>10</v>
      </c>
      <c r="E1895" s="6">
        <v>-0.76269657710000005</v>
      </c>
    </row>
    <row r="1896" spans="1:5" x14ac:dyDescent="0.3">
      <c r="A1896" s="5">
        <v>239</v>
      </c>
      <c r="B1896" s="5" t="s">
        <v>288</v>
      </c>
      <c r="C1896" s="5">
        <v>2</v>
      </c>
      <c r="D1896" s="9">
        <v>100</v>
      </c>
      <c r="E1896" s="6">
        <v>-0.75622232909999998</v>
      </c>
    </row>
    <row r="1897" spans="1:5" x14ac:dyDescent="0.3">
      <c r="A1897" s="5">
        <v>239</v>
      </c>
      <c r="B1897" s="5" t="s">
        <v>288</v>
      </c>
      <c r="C1897" s="5">
        <v>3</v>
      </c>
      <c r="D1897" s="9">
        <v>1000</v>
      </c>
      <c r="E1897" s="6">
        <v>-0.77732887350000002</v>
      </c>
    </row>
  </sheetData>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showGridLines="0" workbookViewId="0"/>
  </sheetViews>
  <sheetFormatPr defaultRowHeight="16.5" x14ac:dyDescent="0.3"/>
  <cols>
    <col min="1" max="1" width="24.625" customWidth="1"/>
    <col min="2" max="2" width="18.625" customWidth="1"/>
    <col min="3" max="3" width="16.625" customWidth="1"/>
    <col min="4" max="4" width="18.625" customWidth="1"/>
  </cols>
  <sheetData>
    <row r="1" spans="1:4" ht="38.1" customHeight="1" x14ac:dyDescent="0.3">
      <c r="A1" s="54" t="s">
        <v>292</v>
      </c>
      <c r="B1" s="55"/>
      <c r="C1" s="55"/>
      <c r="D1" s="55"/>
    </row>
    <row r="3" spans="1:4" x14ac:dyDescent="0.3">
      <c r="A3" s="12" t="s">
        <v>293</v>
      </c>
      <c r="B3" s="12" t="s">
        <v>294</v>
      </c>
      <c r="C3" s="12" t="s">
        <v>295</v>
      </c>
      <c r="D3" s="12" t="s">
        <v>296</v>
      </c>
    </row>
    <row r="4" spans="1:4" x14ac:dyDescent="0.3">
      <c r="A4" s="11">
        <v>-4</v>
      </c>
      <c r="B4" s="11" t="s">
        <v>46</v>
      </c>
      <c r="C4" s="11">
        <v>11</v>
      </c>
      <c r="D4" s="13">
        <v>4.6025104602510462E-2</v>
      </c>
    </row>
    <row r="5" spans="1:4" x14ac:dyDescent="0.3">
      <c r="A5" s="11">
        <v>-3</v>
      </c>
      <c r="B5" s="11" t="s">
        <v>41</v>
      </c>
      <c r="C5" s="11">
        <v>84</v>
      </c>
      <c r="D5" s="13">
        <v>0.35146443514644349</v>
      </c>
    </row>
    <row r="6" spans="1:4" x14ac:dyDescent="0.3">
      <c r="A6" s="11">
        <v>-2</v>
      </c>
      <c r="B6" s="11" t="s">
        <v>44</v>
      </c>
      <c r="C6" s="11">
        <v>122</v>
      </c>
      <c r="D6" s="13">
        <v>0.5104602510460251</v>
      </c>
    </row>
    <row r="7" spans="1:4" x14ac:dyDescent="0.3">
      <c r="A7" s="11">
        <v>-1</v>
      </c>
      <c r="B7" s="11" t="s">
        <v>55</v>
      </c>
      <c r="C7" s="11">
        <v>17</v>
      </c>
      <c r="D7" s="13">
        <v>7.1129707112970716E-2</v>
      </c>
    </row>
    <row r="8" spans="1:4" x14ac:dyDescent="0.3">
      <c r="A8" s="11">
        <v>0</v>
      </c>
      <c r="B8" s="11" t="s">
        <v>276</v>
      </c>
      <c r="C8" s="11">
        <v>1</v>
      </c>
      <c r="D8" s="13">
        <v>4.1841004184100406E-3</v>
      </c>
    </row>
    <row r="9" spans="1:4" x14ac:dyDescent="0.3">
      <c r="A9" s="11">
        <v>1</v>
      </c>
      <c r="B9" s="11" t="s">
        <v>52</v>
      </c>
      <c r="C9" s="11">
        <v>2</v>
      </c>
      <c r="D9" s="13">
        <v>8.368200836820083E-3</v>
      </c>
    </row>
    <row r="10" spans="1:4" x14ac:dyDescent="0.3">
      <c r="A10" s="11">
        <v>2</v>
      </c>
      <c r="B10" s="11" t="s">
        <v>297</v>
      </c>
      <c r="C10" s="11">
        <v>0</v>
      </c>
      <c r="D10" s="13">
        <v>0</v>
      </c>
    </row>
    <row r="11" spans="1:4" x14ac:dyDescent="0.3">
      <c r="A11" s="11">
        <v>3</v>
      </c>
      <c r="B11" s="11" t="s">
        <v>298</v>
      </c>
      <c r="C11" s="11">
        <v>0</v>
      </c>
      <c r="D11" s="13">
        <v>0</v>
      </c>
    </row>
    <row r="12" spans="1:4" x14ac:dyDescent="0.3">
      <c r="A12" s="11" t="s">
        <v>120</v>
      </c>
      <c r="B12" s="11" t="s">
        <v>120</v>
      </c>
      <c r="C12" s="11">
        <v>2</v>
      </c>
      <c r="D12" s="13">
        <v>8.368200836820083E-3</v>
      </c>
    </row>
  </sheetData>
  <mergeCells count="1">
    <mergeCell ref="A1:D1"/>
  </mergeCells>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40"/>
  <sheetViews>
    <sheetView showGridLines="0" workbookViewId="0"/>
  </sheetViews>
  <sheetFormatPr defaultRowHeight="16.5" x14ac:dyDescent="0.3"/>
  <cols>
    <col min="1" max="1" width="12" customWidth="1"/>
    <col min="2" max="2" width="18" customWidth="1"/>
    <col min="3" max="5" width="14" customWidth="1"/>
    <col min="6" max="6" width="22" customWidth="1"/>
    <col min="7" max="7" width="18" customWidth="1"/>
    <col min="8" max="23" width="14" customWidth="1"/>
    <col min="24" max="26" width="22" customWidth="1"/>
    <col min="27" max="27" width="18" customWidth="1"/>
    <col min="28" max="28" width="24" customWidth="1"/>
    <col min="29" max="30" width="14" customWidth="1"/>
  </cols>
  <sheetData>
    <row r="1" spans="1:30" ht="42" customHeight="1" x14ac:dyDescent="0.3">
      <c r="A1" s="18" t="s">
        <v>34</v>
      </c>
      <c r="B1" s="18" t="s">
        <v>35</v>
      </c>
      <c r="C1" s="18" t="s">
        <v>299</v>
      </c>
      <c r="D1" s="18" t="s">
        <v>37</v>
      </c>
      <c r="E1" s="18" t="s">
        <v>38</v>
      </c>
      <c r="F1" s="18" t="s">
        <v>39</v>
      </c>
      <c r="G1" s="18" t="s">
        <v>300</v>
      </c>
      <c r="H1" s="18" t="s">
        <v>301</v>
      </c>
      <c r="I1" s="18" t="s">
        <v>302</v>
      </c>
      <c r="J1" s="18" t="s">
        <v>303</v>
      </c>
      <c r="K1" s="18" t="s">
        <v>304</v>
      </c>
      <c r="L1" s="18" t="s">
        <v>305</v>
      </c>
      <c r="M1" s="18" t="s">
        <v>306</v>
      </c>
      <c r="N1" s="18" t="s">
        <v>307</v>
      </c>
      <c r="O1" s="18" t="s">
        <v>308</v>
      </c>
      <c r="P1" s="18" t="s">
        <v>309</v>
      </c>
      <c r="Q1" s="18" t="s">
        <v>310</v>
      </c>
      <c r="R1" s="18" t="s">
        <v>311</v>
      </c>
      <c r="S1" s="18" t="s">
        <v>312</v>
      </c>
      <c r="T1" s="18" t="s">
        <v>313</v>
      </c>
      <c r="U1" s="18" t="s">
        <v>314</v>
      </c>
      <c r="V1" s="18" t="s">
        <v>315</v>
      </c>
      <c r="W1" s="18" t="s">
        <v>316</v>
      </c>
      <c r="X1" s="18" t="s">
        <v>317</v>
      </c>
      <c r="Y1" s="18" t="s">
        <v>318</v>
      </c>
      <c r="Z1" s="18" t="s">
        <v>319</v>
      </c>
      <c r="AA1" s="18" t="s">
        <v>320</v>
      </c>
      <c r="AB1" s="18" t="s">
        <v>321</v>
      </c>
      <c r="AC1" s="18" t="s">
        <v>322</v>
      </c>
      <c r="AD1" s="18" t="s">
        <v>323</v>
      </c>
    </row>
    <row r="2" spans="1:30" x14ac:dyDescent="0.3">
      <c r="A2" s="23">
        <v>1</v>
      </c>
      <c r="B2" s="21" t="s">
        <v>40</v>
      </c>
      <c r="C2" s="23" t="s">
        <v>324</v>
      </c>
      <c r="D2" s="23">
        <v>-3</v>
      </c>
      <c r="E2" s="23" t="s">
        <v>41</v>
      </c>
      <c r="F2" s="23" t="s">
        <v>42</v>
      </c>
      <c r="G2" s="25">
        <v>8.5909999999999993</v>
      </c>
      <c r="H2" s="25">
        <v>0</v>
      </c>
      <c r="I2" s="25">
        <v>0</v>
      </c>
      <c r="J2" s="25">
        <v>0</v>
      </c>
      <c r="K2" s="25">
        <v>0</v>
      </c>
      <c r="L2" s="25">
        <v>0</v>
      </c>
      <c r="M2" s="25"/>
      <c r="N2" s="25">
        <v>0</v>
      </c>
      <c r="O2" s="25">
        <v>0</v>
      </c>
      <c r="P2" s="25">
        <v>0.15358182227785064</v>
      </c>
      <c r="Q2" s="25">
        <v>0</v>
      </c>
      <c r="R2" s="25">
        <v>0</v>
      </c>
      <c r="S2" s="25"/>
      <c r="T2" s="25">
        <v>2.3527348362690501E-3</v>
      </c>
      <c r="U2" s="25">
        <v>0</v>
      </c>
      <c r="V2" s="25">
        <v>0</v>
      </c>
      <c r="W2" s="25">
        <v>3.9469340020518577E-4</v>
      </c>
      <c r="X2" s="25">
        <f t="shared" ref="X2:X65" si="0">SUM(H2:W2)</f>
        <v>0.15632925051432486</v>
      </c>
      <c r="Y2" s="27">
        <f t="shared" ref="Y2:Y65" si="1">X2/G2*100</f>
        <v>1.8196863056026642</v>
      </c>
      <c r="Z2" s="25">
        <f t="shared" ref="Z2:Z65" si="2">MAX(H2:W2)</f>
        <v>0.15358182227785064</v>
      </c>
      <c r="AA2" s="49">
        <f t="shared" ref="AA2:AA65" si="3">2010+MATCH(Z2,H2:W2,0)-1</f>
        <v>2018</v>
      </c>
      <c r="AB2" s="29">
        <f t="shared" ref="AB2:AB65" si="4">Z2/G2*100</f>
        <v>1.7877059978797654</v>
      </c>
      <c r="AC2" s="23">
        <f t="shared" ref="AC2:AC65" si="5">IF(F2="Valid",RANK(AB2,$AB$2:$AB$240,0),"")</f>
        <v>116</v>
      </c>
      <c r="AD2" s="23" t="str">
        <f t="shared" ref="AD2:AD65" si="6">IF(AND(F2="Valid",AC2&lt;=24),"Yes","No")</f>
        <v>No</v>
      </c>
    </row>
    <row r="3" spans="1:30" x14ac:dyDescent="0.3">
      <c r="A3" s="23">
        <v>2</v>
      </c>
      <c r="B3" s="21" t="s">
        <v>43</v>
      </c>
      <c r="C3" s="23" t="s">
        <v>325</v>
      </c>
      <c r="D3" s="23">
        <v>-2</v>
      </c>
      <c r="E3" s="23" t="s">
        <v>44</v>
      </c>
      <c r="F3" s="23" t="s">
        <v>42</v>
      </c>
      <c r="G3" s="25">
        <v>4.6340000000000003</v>
      </c>
      <c r="H3" s="25">
        <v>0</v>
      </c>
      <c r="I3" s="25">
        <v>0</v>
      </c>
      <c r="J3" s="25">
        <v>0</v>
      </c>
      <c r="K3" s="25">
        <v>0</v>
      </c>
      <c r="L3" s="25">
        <v>0</v>
      </c>
      <c r="M3" s="25"/>
      <c r="N3" s="25">
        <v>0</v>
      </c>
      <c r="O3" s="25">
        <v>0</v>
      </c>
      <c r="P3" s="25">
        <v>0</v>
      </c>
      <c r="Q3" s="25">
        <v>0</v>
      </c>
      <c r="R3" s="25">
        <v>0</v>
      </c>
      <c r="S3" s="25"/>
      <c r="T3" s="25">
        <v>5.0313334742458533E-3</v>
      </c>
      <c r="U3" s="25">
        <v>0</v>
      </c>
      <c r="V3" s="25">
        <v>0</v>
      </c>
      <c r="W3" s="25">
        <v>0</v>
      </c>
      <c r="X3" s="25">
        <f t="shared" si="0"/>
        <v>5.0313334742458533E-3</v>
      </c>
      <c r="Y3" s="27">
        <f t="shared" si="1"/>
        <v>0.10857430889611248</v>
      </c>
      <c r="Z3" s="25">
        <f t="shared" si="2"/>
        <v>5.0313334742458533E-3</v>
      </c>
      <c r="AA3" s="49">
        <f t="shared" si="3"/>
        <v>2022</v>
      </c>
      <c r="AB3" s="29">
        <f t="shared" si="4"/>
        <v>0.10857430889611248</v>
      </c>
      <c r="AC3" s="23">
        <f t="shared" si="5"/>
        <v>198</v>
      </c>
      <c r="AD3" s="23" t="str">
        <f t="shared" si="6"/>
        <v>No</v>
      </c>
    </row>
    <row r="4" spans="1:30" x14ac:dyDescent="0.3">
      <c r="A4" s="23">
        <v>3</v>
      </c>
      <c r="B4" s="21" t="s">
        <v>45</v>
      </c>
      <c r="C4" s="23" t="s">
        <v>326</v>
      </c>
      <c r="D4" s="23">
        <v>-4</v>
      </c>
      <c r="E4" s="23" t="s">
        <v>46</v>
      </c>
      <c r="F4" s="23" t="s">
        <v>42</v>
      </c>
      <c r="G4" s="25">
        <v>4.085</v>
      </c>
      <c r="H4" s="25">
        <v>0</v>
      </c>
      <c r="I4" s="25">
        <v>0</v>
      </c>
      <c r="J4" s="25">
        <v>0</v>
      </c>
      <c r="K4" s="25">
        <v>0</v>
      </c>
      <c r="L4" s="25">
        <v>0</v>
      </c>
      <c r="M4" s="25"/>
      <c r="N4" s="25">
        <v>0</v>
      </c>
      <c r="O4" s="25">
        <v>0</v>
      </c>
      <c r="P4" s="25">
        <v>4.6935680316641014E-3</v>
      </c>
      <c r="Q4" s="25">
        <v>0</v>
      </c>
      <c r="R4" s="25">
        <v>2.170178837754316E-3</v>
      </c>
      <c r="S4" s="25"/>
      <c r="T4" s="25">
        <v>1.0417491951386701</v>
      </c>
      <c r="U4" s="25">
        <v>1.5404029255498608E-4</v>
      </c>
      <c r="V4" s="25">
        <v>0</v>
      </c>
      <c r="W4" s="25">
        <v>3.1755693569313737E-4</v>
      </c>
      <c r="X4" s="25">
        <f t="shared" si="0"/>
        <v>1.0490845392363368</v>
      </c>
      <c r="Y4" s="27">
        <f t="shared" si="1"/>
        <v>25.681384069432973</v>
      </c>
      <c r="Z4" s="25">
        <f t="shared" si="2"/>
        <v>1.0417491951386701</v>
      </c>
      <c r="AA4" s="49">
        <f t="shared" si="3"/>
        <v>2022</v>
      </c>
      <c r="AB4" s="29">
        <f t="shared" si="4"/>
        <v>25.501816282464386</v>
      </c>
      <c r="AC4" s="23">
        <f t="shared" si="5"/>
        <v>9</v>
      </c>
      <c r="AD4" s="23" t="str">
        <f t="shared" si="6"/>
        <v>Yes</v>
      </c>
    </row>
    <row r="5" spans="1:30" x14ac:dyDescent="0.3">
      <c r="A5" s="23">
        <v>4</v>
      </c>
      <c r="B5" s="21" t="s">
        <v>47</v>
      </c>
      <c r="C5" s="23" t="s">
        <v>327</v>
      </c>
      <c r="D5" s="23">
        <v>-2</v>
      </c>
      <c r="E5" s="23" t="s">
        <v>44</v>
      </c>
      <c r="F5" s="23" t="s">
        <v>42</v>
      </c>
      <c r="G5" s="25">
        <v>2.16</v>
      </c>
      <c r="H5" s="25">
        <v>0</v>
      </c>
      <c r="I5" s="25">
        <v>0</v>
      </c>
      <c r="J5" s="25">
        <v>0</v>
      </c>
      <c r="K5" s="25">
        <v>0</v>
      </c>
      <c r="L5" s="25">
        <v>0</v>
      </c>
      <c r="M5" s="25"/>
      <c r="N5" s="25">
        <v>0</v>
      </c>
      <c r="O5" s="25">
        <v>0</v>
      </c>
      <c r="P5" s="25">
        <v>2.3097034343838255E-2</v>
      </c>
      <c r="Q5" s="25">
        <v>0</v>
      </c>
      <c r="R5" s="25">
        <v>2.1028333585825107E-2</v>
      </c>
      <c r="S5" s="25"/>
      <c r="T5" s="25">
        <v>0.60248030779252004</v>
      </c>
      <c r="U5" s="25">
        <v>0</v>
      </c>
      <c r="V5" s="25">
        <v>0</v>
      </c>
      <c r="W5" s="25">
        <v>0</v>
      </c>
      <c r="X5" s="25">
        <f t="shared" si="0"/>
        <v>0.64660567572218342</v>
      </c>
      <c r="Y5" s="27">
        <f t="shared" si="1"/>
        <v>29.935447950101079</v>
      </c>
      <c r="Z5" s="25">
        <f t="shared" si="2"/>
        <v>0.60248030779252004</v>
      </c>
      <c r="AA5" s="49">
        <f t="shared" si="3"/>
        <v>2022</v>
      </c>
      <c r="AB5" s="29">
        <f t="shared" si="4"/>
        <v>27.892606842246298</v>
      </c>
      <c r="AC5" s="23">
        <f t="shared" si="5"/>
        <v>5</v>
      </c>
      <c r="AD5" s="23" t="str">
        <f t="shared" si="6"/>
        <v>Yes</v>
      </c>
    </row>
    <row r="6" spans="1:30" x14ac:dyDescent="0.3">
      <c r="A6" s="23">
        <v>5</v>
      </c>
      <c r="B6" s="21" t="s">
        <v>48</v>
      </c>
      <c r="C6" s="23" t="s">
        <v>328</v>
      </c>
      <c r="D6" s="23">
        <v>-4</v>
      </c>
      <c r="E6" s="23" t="s">
        <v>46</v>
      </c>
      <c r="F6" s="23" t="s">
        <v>42</v>
      </c>
      <c r="G6" s="25">
        <v>3.2810000000000001</v>
      </c>
      <c r="H6" s="25">
        <v>0</v>
      </c>
      <c r="I6" s="25">
        <v>0</v>
      </c>
      <c r="J6" s="25">
        <v>0</v>
      </c>
      <c r="K6" s="25">
        <v>0</v>
      </c>
      <c r="L6" s="25">
        <v>0</v>
      </c>
      <c r="M6" s="25"/>
      <c r="N6" s="25">
        <v>0</v>
      </c>
      <c r="O6" s="25">
        <v>0</v>
      </c>
      <c r="P6" s="25">
        <v>0</v>
      </c>
      <c r="Q6" s="25">
        <v>0</v>
      </c>
      <c r="R6" s="25">
        <v>0</v>
      </c>
      <c r="S6" s="25"/>
      <c r="T6" s="25">
        <v>0.13059798978232748</v>
      </c>
      <c r="U6" s="25">
        <v>0</v>
      </c>
      <c r="V6" s="25">
        <v>0</v>
      </c>
      <c r="W6" s="25">
        <v>0</v>
      </c>
      <c r="X6" s="25">
        <f t="shared" si="0"/>
        <v>0.13059798978232748</v>
      </c>
      <c r="Y6" s="27">
        <f t="shared" si="1"/>
        <v>3.9804324834601488</v>
      </c>
      <c r="Z6" s="25">
        <f t="shared" si="2"/>
        <v>0.13059798978232748</v>
      </c>
      <c r="AA6" s="49">
        <f t="shared" si="3"/>
        <v>2022</v>
      </c>
      <c r="AB6" s="29">
        <f t="shared" si="4"/>
        <v>3.9804324834601488</v>
      </c>
      <c r="AC6" s="23">
        <f t="shared" si="5"/>
        <v>63</v>
      </c>
      <c r="AD6" s="23" t="str">
        <f t="shared" si="6"/>
        <v>No</v>
      </c>
    </row>
    <row r="7" spans="1:30" x14ac:dyDescent="0.3">
      <c r="A7" s="23">
        <v>6</v>
      </c>
      <c r="B7" s="21" t="s">
        <v>49</v>
      </c>
      <c r="C7" s="23" t="s">
        <v>329</v>
      </c>
      <c r="D7" s="23">
        <v>-2</v>
      </c>
      <c r="E7" s="23" t="s">
        <v>44</v>
      </c>
      <c r="F7" s="23" t="s">
        <v>42</v>
      </c>
      <c r="G7" s="25">
        <v>5.85</v>
      </c>
      <c r="H7" s="25">
        <v>0</v>
      </c>
      <c r="I7" s="25">
        <v>0</v>
      </c>
      <c r="J7" s="25">
        <v>0</v>
      </c>
      <c r="K7" s="25">
        <v>0</v>
      </c>
      <c r="L7" s="25">
        <v>0</v>
      </c>
      <c r="M7" s="25"/>
      <c r="N7" s="25">
        <v>0</v>
      </c>
      <c r="O7" s="25">
        <v>0</v>
      </c>
      <c r="P7" s="25">
        <v>9.5898125032679818E-2</v>
      </c>
      <c r="Q7" s="25">
        <v>1.0851372072345112E-4</v>
      </c>
      <c r="R7" s="25">
        <v>3.4897620161216292E-3</v>
      </c>
      <c r="S7" s="25"/>
      <c r="T7" s="25">
        <v>8.5576453594630036E-3</v>
      </c>
      <c r="U7" s="25">
        <v>5.1714318478864149E-4</v>
      </c>
      <c r="V7" s="25">
        <v>2.4877095014462248E-4</v>
      </c>
      <c r="W7" s="25">
        <v>6.3522388349373576E-3</v>
      </c>
      <c r="X7" s="25">
        <f t="shared" si="0"/>
        <v>0.11517219909885852</v>
      </c>
      <c r="Y7" s="27">
        <f t="shared" si="1"/>
        <v>1.9687555401514278</v>
      </c>
      <c r="Z7" s="25">
        <f t="shared" si="2"/>
        <v>9.5898125032679818E-2</v>
      </c>
      <c r="AA7" s="49">
        <f t="shared" si="3"/>
        <v>2018</v>
      </c>
      <c r="AB7" s="29">
        <f t="shared" si="4"/>
        <v>1.6392841885928175</v>
      </c>
      <c r="AC7" s="23">
        <f t="shared" si="5"/>
        <v>122</v>
      </c>
      <c r="AD7" s="23" t="str">
        <f t="shared" si="6"/>
        <v>No</v>
      </c>
    </row>
    <row r="8" spans="1:30" x14ac:dyDescent="0.3">
      <c r="A8" s="23">
        <v>7</v>
      </c>
      <c r="B8" s="21" t="s">
        <v>50</v>
      </c>
      <c r="C8" s="23" t="s">
        <v>330</v>
      </c>
      <c r="D8" s="23">
        <v>-2</v>
      </c>
      <c r="E8" s="23" t="s">
        <v>44</v>
      </c>
      <c r="F8" s="23" t="s">
        <v>42</v>
      </c>
      <c r="G8" s="25">
        <v>2.0870000000000002</v>
      </c>
      <c r="H8" s="25">
        <v>0</v>
      </c>
      <c r="I8" s="25">
        <v>1.6891287884782998E-2</v>
      </c>
      <c r="J8" s="25">
        <v>0</v>
      </c>
      <c r="K8" s="25">
        <v>0</v>
      </c>
      <c r="L8" s="25">
        <v>0</v>
      </c>
      <c r="M8" s="25"/>
      <c r="N8" s="25">
        <v>1.7468308727222029E-4</v>
      </c>
      <c r="O8" s="25">
        <v>0</v>
      </c>
      <c r="P8" s="25">
        <v>5.6702101750667495E-4</v>
      </c>
      <c r="Q8" s="25">
        <v>0</v>
      </c>
      <c r="R8" s="25">
        <v>1.7307567291473971E-4</v>
      </c>
      <c r="S8" s="25"/>
      <c r="T8" s="25">
        <v>3.0138940039642543E-3</v>
      </c>
      <c r="U8" s="25">
        <v>6.8964231428047423E-4</v>
      </c>
      <c r="V8" s="25">
        <v>0</v>
      </c>
      <c r="W8" s="25">
        <v>1.3980802821946564E-3</v>
      </c>
      <c r="X8" s="25">
        <f t="shared" si="0"/>
        <v>2.2907684262916016E-2</v>
      </c>
      <c r="Y8" s="27">
        <f t="shared" si="1"/>
        <v>1.0976370034938197</v>
      </c>
      <c r="Z8" s="25">
        <f t="shared" si="2"/>
        <v>1.6891287884782998E-2</v>
      </c>
      <c r="AA8" s="49">
        <f t="shared" si="3"/>
        <v>2011</v>
      </c>
      <c r="AB8" s="29">
        <f t="shared" si="4"/>
        <v>0.8093573495344033</v>
      </c>
      <c r="AC8" s="23">
        <f t="shared" si="5"/>
        <v>153</v>
      </c>
      <c r="AD8" s="23" t="str">
        <f t="shared" si="6"/>
        <v>No</v>
      </c>
    </row>
    <row r="9" spans="1:30" x14ac:dyDescent="0.3">
      <c r="A9" s="23">
        <v>8</v>
      </c>
      <c r="B9" s="21" t="s">
        <v>51</v>
      </c>
      <c r="C9" s="23" t="s">
        <v>331</v>
      </c>
      <c r="D9" s="23">
        <v>1</v>
      </c>
      <c r="E9" s="23" t="s">
        <v>52</v>
      </c>
      <c r="F9" s="23" t="s">
        <v>42</v>
      </c>
      <c r="G9" s="25">
        <v>3.7229999999999999</v>
      </c>
      <c r="H9" s="25">
        <v>0</v>
      </c>
      <c r="I9" s="25">
        <v>0</v>
      </c>
      <c r="J9" s="25">
        <v>0</v>
      </c>
      <c r="K9" s="25">
        <v>0</v>
      </c>
      <c r="L9" s="25">
        <v>0</v>
      </c>
      <c r="M9" s="25"/>
      <c r="N9" s="25">
        <v>0</v>
      </c>
      <c r="O9" s="25">
        <v>0</v>
      </c>
      <c r="P9" s="25">
        <v>0</v>
      </c>
      <c r="Q9" s="25">
        <v>0</v>
      </c>
      <c r="R9" s="25">
        <v>0</v>
      </c>
      <c r="S9" s="25"/>
      <c r="T9" s="25">
        <v>3.4096954512263647E-2</v>
      </c>
      <c r="U9" s="25">
        <v>0</v>
      </c>
      <c r="V9" s="25">
        <v>0</v>
      </c>
      <c r="W9" s="25">
        <v>0</v>
      </c>
      <c r="X9" s="25">
        <f t="shared" si="0"/>
        <v>3.4096954512263647E-2</v>
      </c>
      <c r="Y9" s="27">
        <f t="shared" si="1"/>
        <v>0.91584621306107039</v>
      </c>
      <c r="Z9" s="25">
        <f t="shared" si="2"/>
        <v>3.4096954512263647E-2</v>
      </c>
      <c r="AA9" s="49">
        <f t="shared" si="3"/>
        <v>2022</v>
      </c>
      <c r="AB9" s="29">
        <f t="shared" si="4"/>
        <v>0.91584621306107039</v>
      </c>
      <c r="AC9" s="23">
        <f t="shared" si="5"/>
        <v>149</v>
      </c>
      <c r="AD9" s="23" t="str">
        <f t="shared" si="6"/>
        <v>No</v>
      </c>
    </row>
    <row r="10" spans="1:30" x14ac:dyDescent="0.3">
      <c r="A10" s="23">
        <v>9</v>
      </c>
      <c r="B10" s="21" t="s">
        <v>53</v>
      </c>
      <c r="C10" s="23" t="s">
        <v>332</v>
      </c>
      <c r="D10" s="23">
        <v>-3</v>
      </c>
      <c r="E10" s="23" t="s">
        <v>41</v>
      </c>
      <c r="F10" s="23" t="s">
        <v>42</v>
      </c>
      <c r="G10" s="25">
        <v>2.8290000000000002</v>
      </c>
      <c r="H10" s="25">
        <v>0</v>
      </c>
      <c r="I10" s="25">
        <v>1.4413512322780627E-2</v>
      </c>
      <c r="J10" s="25">
        <v>0</v>
      </c>
      <c r="K10" s="25">
        <v>0</v>
      </c>
      <c r="L10" s="25">
        <v>0</v>
      </c>
      <c r="M10" s="25"/>
      <c r="N10" s="25">
        <v>7.8889138997532434E-5</v>
      </c>
      <c r="O10" s="25">
        <v>0</v>
      </c>
      <c r="P10" s="25">
        <v>1.1208094543407206E-3</v>
      </c>
      <c r="Q10" s="25">
        <v>0</v>
      </c>
      <c r="R10" s="25">
        <v>0</v>
      </c>
      <c r="S10" s="25"/>
      <c r="T10" s="25">
        <v>5.0945234263382088E-3</v>
      </c>
      <c r="U10" s="25">
        <v>2.4376170021999277E-3</v>
      </c>
      <c r="V10" s="25">
        <v>0</v>
      </c>
      <c r="W10" s="25">
        <v>0</v>
      </c>
      <c r="X10" s="25">
        <f t="shared" si="0"/>
        <v>2.3145351344657016E-2</v>
      </c>
      <c r="Y10" s="27">
        <f t="shared" si="1"/>
        <v>0.81814603551279652</v>
      </c>
      <c r="Z10" s="25">
        <f t="shared" si="2"/>
        <v>1.4413512322780627E-2</v>
      </c>
      <c r="AA10" s="49">
        <f t="shared" si="3"/>
        <v>2011</v>
      </c>
      <c r="AB10" s="29">
        <f t="shared" si="4"/>
        <v>0.5094914218020723</v>
      </c>
      <c r="AC10" s="23">
        <f t="shared" si="5"/>
        <v>167</v>
      </c>
      <c r="AD10" s="23" t="str">
        <f t="shared" si="6"/>
        <v>No</v>
      </c>
    </row>
    <row r="11" spans="1:30" x14ac:dyDescent="0.3">
      <c r="A11" s="23">
        <v>10</v>
      </c>
      <c r="B11" s="21" t="s">
        <v>54</v>
      </c>
      <c r="C11" s="23" t="s">
        <v>333</v>
      </c>
      <c r="D11" s="23">
        <v>-1</v>
      </c>
      <c r="E11" s="23" t="s">
        <v>55</v>
      </c>
      <c r="F11" s="23" t="s">
        <v>42</v>
      </c>
      <c r="G11" s="25">
        <v>1.667</v>
      </c>
      <c r="H11" s="25">
        <v>0</v>
      </c>
      <c r="I11" s="25">
        <v>0</v>
      </c>
      <c r="J11" s="25">
        <v>0</v>
      </c>
      <c r="K11" s="25">
        <v>0</v>
      </c>
      <c r="L11" s="25">
        <v>0</v>
      </c>
      <c r="M11" s="25"/>
      <c r="N11" s="25">
        <v>0</v>
      </c>
      <c r="O11" s="25">
        <v>0</v>
      </c>
      <c r="P11" s="25">
        <v>0</v>
      </c>
      <c r="Q11" s="25">
        <v>0</v>
      </c>
      <c r="R11" s="25">
        <v>1.7605078798823523E-4</v>
      </c>
      <c r="S11" s="25"/>
      <c r="T11" s="25">
        <v>0</v>
      </c>
      <c r="U11" s="25">
        <v>0</v>
      </c>
      <c r="V11" s="25">
        <v>0</v>
      </c>
      <c r="W11" s="25">
        <v>0</v>
      </c>
      <c r="X11" s="25">
        <f t="shared" si="0"/>
        <v>1.7605078798823523E-4</v>
      </c>
      <c r="Y11" s="27">
        <f t="shared" si="1"/>
        <v>1.056093509227566E-2</v>
      </c>
      <c r="Z11" s="25">
        <f t="shared" si="2"/>
        <v>1.7605078798823523E-4</v>
      </c>
      <c r="AA11" s="49">
        <f t="shared" si="3"/>
        <v>2020</v>
      </c>
      <c r="AB11" s="29">
        <f t="shared" si="4"/>
        <v>1.056093509227566E-2</v>
      </c>
      <c r="AC11" s="23">
        <f t="shared" si="5"/>
        <v>228</v>
      </c>
      <c r="AD11" s="23" t="str">
        <f t="shared" si="6"/>
        <v>No</v>
      </c>
    </row>
    <row r="12" spans="1:30" x14ac:dyDescent="0.3">
      <c r="A12" s="23">
        <v>11</v>
      </c>
      <c r="B12" s="21" t="s">
        <v>56</v>
      </c>
      <c r="C12" s="23" t="s">
        <v>334</v>
      </c>
      <c r="D12" s="23">
        <v>-1</v>
      </c>
      <c r="E12" s="23" t="s">
        <v>55</v>
      </c>
      <c r="F12" s="23" t="s">
        <v>42</v>
      </c>
      <c r="G12" s="25">
        <v>3.7480000000000002</v>
      </c>
      <c r="H12" s="25">
        <v>0</v>
      </c>
      <c r="I12" s="25">
        <v>8.8324966500001026E-4</v>
      </c>
      <c r="J12" s="25">
        <v>0</v>
      </c>
      <c r="K12" s="25">
        <v>0</v>
      </c>
      <c r="L12" s="25">
        <v>0</v>
      </c>
      <c r="M12" s="25"/>
      <c r="N12" s="25">
        <v>0</v>
      </c>
      <c r="O12" s="25">
        <v>0</v>
      </c>
      <c r="P12" s="25">
        <v>3.8663374830894318E-3</v>
      </c>
      <c r="Q12" s="25">
        <v>0</v>
      </c>
      <c r="R12" s="25">
        <v>0</v>
      </c>
      <c r="S12" s="25"/>
      <c r="T12" s="25">
        <v>5.3529115066048164E-3</v>
      </c>
      <c r="U12" s="25">
        <v>0</v>
      </c>
      <c r="V12" s="25">
        <v>0</v>
      </c>
      <c r="W12" s="25">
        <v>0.98126245207821461</v>
      </c>
      <c r="X12" s="25">
        <f t="shared" si="0"/>
        <v>0.99136495073290887</v>
      </c>
      <c r="Y12" s="27">
        <f t="shared" si="1"/>
        <v>26.450505622542924</v>
      </c>
      <c r="Z12" s="25">
        <f t="shared" si="2"/>
        <v>0.98126245207821461</v>
      </c>
      <c r="AA12" s="49">
        <f t="shared" si="3"/>
        <v>2025</v>
      </c>
      <c r="AB12" s="29">
        <f t="shared" si="4"/>
        <v>26.180961901766665</v>
      </c>
      <c r="AC12" s="23">
        <f t="shared" si="5"/>
        <v>7</v>
      </c>
      <c r="AD12" s="23" t="str">
        <f t="shared" si="6"/>
        <v>Yes</v>
      </c>
    </row>
    <row r="13" spans="1:30" x14ac:dyDescent="0.3">
      <c r="A13" s="23">
        <v>12</v>
      </c>
      <c r="B13" s="21" t="s">
        <v>57</v>
      </c>
      <c r="C13" s="23" t="s">
        <v>335</v>
      </c>
      <c r="D13" s="23">
        <v>-2</v>
      </c>
      <c r="E13" s="23" t="s">
        <v>44</v>
      </c>
      <c r="F13" s="23" t="s">
        <v>42</v>
      </c>
      <c r="G13" s="25">
        <v>4.0540000000000003</v>
      </c>
      <c r="H13" s="25">
        <v>0</v>
      </c>
      <c r="I13" s="25">
        <v>0</v>
      </c>
      <c r="J13" s="25">
        <v>0</v>
      </c>
      <c r="K13" s="25">
        <v>0</v>
      </c>
      <c r="L13" s="25">
        <v>0</v>
      </c>
      <c r="M13" s="25"/>
      <c r="N13" s="25">
        <v>0</v>
      </c>
      <c r="O13" s="25">
        <v>0</v>
      </c>
      <c r="P13" s="25">
        <v>2.0168058793697857E-3</v>
      </c>
      <c r="Q13" s="25">
        <v>0</v>
      </c>
      <c r="R13" s="25">
        <v>0</v>
      </c>
      <c r="S13" s="25"/>
      <c r="T13" s="25">
        <v>3.1216289438744181E-2</v>
      </c>
      <c r="U13" s="25">
        <v>9.8502400054916502E-4</v>
      </c>
      <c r="V13" s="25">
        <v>0</v>
      </c>
      <c r="W13" s="25">
        <v>2.4204741559620715E-3</v>
      </c>
      <c r="X13" s="25">
        <f t="shared" si="0"/>
        <v>3.6638593474625204E-2</v>
      </c>
      <c r="Y13" s="27">
        <f t="shared" si="1"/>
        <v>0.9037640225610557</v>
      </c>
      <c r="Z13" s="25">
        <f t="shared" si="2"/>
        <v>3.1216289438744181E-2</v>
      </c>
      <c r="AA13" s="49">
        <f t="shared" si="3"/>
        <v>2022</v>
      </c>
      <c r="AB13" s="29">
        <f t="shared" si="4"/>
        <v>0.77001207298332952</v>
      </c>
      <c r="AC13" s="23">
        <f t="shared" si="5"/>
        <v>156</v>
      </c>
      <c r="AD13" s="23" t="str">
        <f t="shared" si="6"/>
        <v>No</v>
      </c>
    </row>
    <row r="14" spans="1:30" x14ac:dyDescent="0.3">
      <c r="A14" s="23">
        <v>13</v>
      </c>
      <c r="B14" s="21" t="s">
        <v>58</v>
      </c>
      <c r="C14" s="23" t="s">
        <v>336</v>
      </c>
      <c r="D14" s="23">
        <v>-2</v>
      </c>
      <c r="E14" s="23" t="s">
        <v>44</v>
      </c>
      <c r="F14" s="23" t="s">
        <v>42</v>
      </c>
      <c r="G14" s="25">
        <v>1.2250000000000001</v>
      </c>
      <c r="H14" s="25">
        <v>0</v>
      </c>
      <c r="I14" s="25">
        <v>0</v>
      </c>
      <c r="J14" s="25">
        <v>0</v>
      </c>
      <c r="K14" s="25">
        <v>0</v>
      </c>
      <c r="L14" s="25">
        <v>0</v>
      </c>
      <c r="M14" s="25"/>
      <c r="N14" s="25">
        <v>0</v>
      </c>
      <c r="O14" s="25">
        <v>0</v>
      </c>
      <c r="P14" s="25">
        <v>6.1762905668714669E-4</v>
      </c>
      <c r="Q14" s="25">
        <v>0</v>
      </c>
      <c r="R14" s="25">
        <v>0</v>
      </c>
      <c r="S14" s="25"/>
      <c r="T14" s="25">
        <v>1.9912705044091939E-3</v>
      </c>
      <c r="U14" s="25">
        <v>0</v>
      </c>
      <c r="V14" s="25">
        <v>4.3310975019424222E-4</v>
      </c>
      <c r="W14" s="25">
        <v>6.9582516258032405E-4</v>
      </c>
      <c r="X14" s="25">
        <f t="shared" si="0"/>
        <v>3.7378344738709071E-3</v>
      </c>
      <c r="Y14" s="27">
        <f t="shared" si="1"/>
        <v>0.30512934480578829</v>
      </c>
      <c r="Z14" s="25">
        <f t="shared" si="2"/>
        <v>1.9912705044091939E-3</v>
      </c>
      <c r="AA14" s="49">
        <f t="shared" si="3"/>
        <v>2022</v>
      </c>
      <c r="AB14" s="29">
        <f t="shared" si="4"/>
        <v>0.16255269423748522</v>
      </c>
      <c r="AC14" s="23">
        <f t="shared" si="5"/>
        <v>191</v>
      </c>
      <c r="AD14" s="23" t="str">
        <f t="shared" si="6"/>
        <v>No</v>
      </c>
    </row>
    <row r="15" spans="1:30" x14ac:dyDescent="0.3">
      <c r="A15" s="23">
        <v>14</v>
      </c>
      <c r="B15" s="21" t="s">
        <v>59</v>
      </c>
      <c r="C15" s="23" t="s">
        <v>337</v>
      </c>
      <c r="D15" s="23">
        <v>-4</v>
      </c>
      <c r="E15" s="23" t="s">
        <v>46</v>
      </c>
      <c r="F15" s="23" t="s">
        <v>42</v>
      </c>
      <c r="G15" s="25">
        <v>6.2249999999999996</v>
      </c>
      <c r="H15" s="25">
        <v>0</v>
      </c>
      <c r="I15" s="25">
        <v>0</v>
      </c>
      <c r="J15" s="25">
        <v>0</v>
      </c>
      <c r="K15" s="25">
        <v>0</v>
      </c>
      <c r="L15" s="25">
        <v>0</v>
      </c>
      <c r="M15" s="25"/>
      <c r="N15" s="25">
        <v>0</v>
      </c>
      <c r="O15" s="25">
        <v>0</v>
      </c>
      <c r="P15" s="25">
        <v>7.0881266080624844E-4</v>
      </c>
      <c r="Q15" s="25">
        <v>0</v>
      </c>
      <c r="R15" s="25">
        <v>0</v>
      </c>
      <c r="S15" s="25"/>
      <c r="T15" s="25">
        <v>6.1764832776536535E-3</v>
      </c>
      <c r="U15" s="25">
        <v>0</v>
      </c>
      <c r="V15" s="25">
        <v>0</v>
      </c>
      <c r="W15" s="25">
        <v>1.2253193074685085E-2</v>
      </c>
      <c r="X15" s="25">
        <f t="shared" si="0"/>
        <v>1.9138489013144987E-2</v>
      </c>
      <c r="Y15" s="27">
        <f t="shared" si="1"/>
        <v>0.30744560663686726</v>
      </c>
      <c r="Z15" s="25">
        <f t="shared" si="2"/>
        <v>1.2253193074685085E-2</v>
      </c>
      <c r="AA15" s="49">
        <f t="shared" si="3"/>
        <v>2025</v>
      </c>
      <c r="AB15" s="29">
        <f t="shared" si="4"/>
        <v>0.19683844296682868</v>
      </c>
      <c r="AC15" s="23">
        <f t="shared" si="5"/>
        <v>185</v>
      </c>
      <c r="AD15" s="23" t="str">
        <f t="shared" si="6"/>
        <v>No</v>
      </c>
    </row>
    <row r="16" spans="1:30" x14ac:dyDescent="0.3">
      <c r="A16" s="23">
        <v>15</v>
      </c>
      <c r="B16" s="21" t="s">
        <v>60</v>
      </c>
      <c r="C16" s="23" t="s">
        <v>338</v>
      </c>
      <c r="D16" s="23">
        <v>-3</v>
      </c>
      <c r="E16" s="23" t="s">
        <v>41</v>
      </c>
      <c r="F16" s="23" t="s">
        <v>42</v>
      </c>
      <c r="G16" s="25">
        <v>2.3849999999999998</v>
      </c>
      <c r="H16" s="25">
        <v>0</v>
      </c>
      <c r="I16" s="25">
        <v>0</v>
      </c>
      <c r="J16" s="25">
        <v>0</v>
      </c>
      <c r="K16" s="25">
        <v>0</v>
      </c>
      <c r="L16" s="25">
        <v>0</v>
      </c>
      <c r="M16" s="25"/>
      <c r="N16" s="25">
        <v>0</v>
      </c>
      <c r="O16" s="25">
        <v>0</v>
      </c>
      <c r="P16" s="25">
        <v>0</v>
      </c>
      <c r="Q16" s="25">
        <v>0</v>
      </c>
      <c r="R16" s="25">
        <v>0</v>
      </c>
      <c r="S16" s="25"/>
      <c r="T16" s="25">
        <v>1.0130212965252432E-3</v>
      </c>
      <c r="U16" s="25">
        <v>1.0291598664306403E-3</v>
      </c>
      <c r="V16" s="25">
        <v>0</v>
      </c>
      <c r="W16" s="25">
        <v>0</v>
      </c>
      <c r="X16" s="25">
        <f t="shared" si="0"/>
        <v>2.0421811629558837E-3</v>
      </c>
      <c r="Y16" s="27">
        <f t="shared" si="1"/>
        <v>8.5626044568380869E-2</v>
      </c>
      <c r="Z16" s="25">
        <f t="shared" si="2"/>
        <v>1.0291598664306403E-3</v>
      </c>
      <c r="AA16" s="49">
        <f t="shared" si="3"/>
        <v>2023</v>
      </c>
      <c r="AB16" s="29">
        <f t="shared" si="4"/>
        <v>4.3151357083045717E-2</v>
      </c>
      <c r="AC16" s="23">
        <f t="shared" si="5"/>
        <v>215</v>
      </c>
      <c r="AD16" s="23" t="str">
        <f t="shared" si="6"/>
        <v>No</v>
      </c>
    </row>
    <row r="17" spans="1:30" x14ac:dyDescent="0.3">
      <c r="A17" s="23">
        <v>16</v>
      </c>
      <c r="B17" s="21" t="s">
        <v>61</v>
      </c>
      <c r="C17" s="23" t="s">
        <v>339</v>
      </c>
      <c r="D17" s="23">
        <v>-2</v>
      </c>
      <c r="E17" s="23" t="s">
        <v>44</v>
      </c>
      <c r="F17" s="23" t="s">
        <v>42</v>
      </c>
      <c r="G17" s="25">
        <v>5.5960000000000001</v>
      </c>
      <c r="H17" s="25">
        <v>0</v>
      </c>
      <c r="I17" s="25">
        <v>0</v>
      </c>
      <c r="J17" s="25">
        <v>0</v>
      </c>
      <c r="K17" s="25">
        <v>0</v>
      </c>
      <c r="L17" s="25">
        <v>0</v>
      </c>
      <c r="M17" s="25"/>
      <c r="N17" s="25">
        <v>0</v>
      </c>
      <c r="O17" s="25">
        <v>0</v>
      </c>
      <c r="P17" s="25">
        <v>0</v>
      </c>
      <c r="Q17" s="25">
        <v>0</v>
      </c>
      <c r="R17" s="25">
        <v>0</v>
      </c>
      <c r="S17" s="25"/>
      <c r="T17" s="25">
        <v>1.3068983290063904E-2</v>
      </c>
      <c r="U17" s="25">
        <v>0</v>
      </c>
      <c r="V17" s="25">
        <v>0</v>
      </c>
      <c r="W17" s="25">
        <v>4.9173195524029436E-3</v>
      </c>
      <c r="X17" s="25">
        <f t="shared" si="0"/>
        <v>1.7986302842466849E-2</v>
      </c>
      <c r="Y17" s="27">
        <f t="shared" si="1"/>
        <v>0.32141356044436831</v>
      </c>
      <c r="Z17" s="25">
        <f t="shared" si="2"/>
        <v>1.3068983290063904E-2</v>
      </c>
      <c r="AA17" s="49">
        <f t="shared" si="3"/>
        <v>2022</v>
      </c>
      <c r="AB17" s="29">
        <f t="shared" si="4"/>
        <v>0.23354151697755368</v>
      </c>
      <c r="AC17" s="23">
        <f t="shared" si="5"/>
        <v>181</v>
      </c>
      <c r="AD17" s="23" t="str">
        <f t="shared" si="6"/>
        <v>No</v>
      </c>
    </row>
    <row r="18" spans="1:30" x14ac:dyDescent="0.3">
      <c r="A18" s="23">
        <v>17</v>
      </c>
      <c r="B18" s="21" t="s">
        <v>62</v>
      </c>
      <c r="C18" s="23" t="s">
        <v>340</v>
      </c>
      <c r="D18" s="23">
        <v>-3</v>
      </c>
      <c r="E18" s="23" t="s">
        <v>41</v>
      </c>
      <c r="F18" s="23" t="s">
        <v>42</v>
      </c>
      <c r="G18" s="25">
        <v>1.6579999999999999</v>
      </c>
      <c r="H18" s="25">
        <v>0</v>
      </c>
      <c r="I18" s="25">
        <v>0</v>
      </c>
      <c r="J18" s="25">
        <v>0</v>
      </c>
      <c r="K18" s="25">
        <v>2.337767944990701E-4</v>
      </c>
      <c r="L18" s="25">
        <v>0</v>
      </c>
      <c r="M18" s="25"/>
      <c r="N18" s="25">
        <v>0</v>
      </c>
      <c r="O18" s="25">
        <v>0</v>
      </c>
      <c r="P18" s="25">
        <v>5.9493486330573797E-4</v>
      </c>
      <c r="Q18" s="25">
        <v>0</v>
      </c>
      <c r="R18" s="25">
        <v>0</v>
      </c>
      <c r="S18" s="25"/>
      <c r="T18" s="25">
        <v>3.7011435468759526E-3</v>
      </c>
      <c r="U18" s="25">
        <v>3.4025425017790987E-4</v>
      </c>
      <c r="V18" s="25">
        <v>0</v>
      </c>
      <c r="W18" s="25">
        <v>9.2494230034407523E-4</v>
      </c>
      <c r="X18" s="25">
        <f t="shared" si="0"/>
        <v>5.7950517552027448E-3</v>
      </c>
      <c r="Y18" s="27">
        <f t="shared" si="1"/>
        <v>0.34952061249714989</v>
      </c>
      <c r="Z18" s="25">
        <f t="shared" si="2"/>
        <v>3.7011435468759526E-3</v>
      </c>
      <c r="AA18" s="49">
        <f t="shared" si="3"/>
        <v>2022</v>
      </c>
      <c r="AB18" s="29">
        <f t="shared" si="4"/>
        <v>0.22322940572231317</v>
      </c>
      <c r="AC18" s="23">
        <f t="shared" si="5"/>
        <v>182</v>
      </c>
      <c r="AD18" s="23" t="str">
        <f t="shared" si="6"/>
        <v>No</v>
      </c>
    </row>
    <row r="19" spans="1:30" x14ac:dyDescent="0.3">
      <c r="A19" s="23">
        <v>18</v>
      </c>
      <c r="B19" s="21" t="s">
        <v>63</v>
      </c>
      <c r="C19" s="23" t="s">
        <v>341</v>
      </c>
      <c r="D19" s="23">
        <v>-3</v>
      </c>
      <c r="E19" s="23" t="s">
        <v>41</v>
      </c>
      <c r="F19" s="23" t="s">
        <v>42</v>
      </c>
      <c r="G19" s="25">
        <v>5.0410000000000004</v>
      </c>
      <c r="H19" s="25">
        <v>0</v>
      </c>
      <c r="I19" s="25">
        <v>0</v>
      </c>
      <c r="J19" s="25">
        <v>0</v>
      </c>
      <c r="K19" s="25">
        <v>0</v>
      </c>
      <c r="L19" s="25">
        <v>0</v>
      </c>
      <c r="M19" s="25"/>
      <c r="N19" s="25">
        <v>0</v>
      </c>
      <c r="O19" s="25">
        <v>0</v>
      </c>
      <c r="P19" s="25">
        <v>2.4452924843749497E-4</v>
      </c>
      <c r="Q19" s="25">
        <v>0</v>
      </c>
      <c r="R19" s="25">
        <v>1.0927304524515057E-4</v>
      </c>
      <c r="S19" s="25"/>
      <c r="T19" s="25">
        <v>4.4938607159152228E-4</v>
      </c>
      <c r="U19" s="25">
        <v>3.4627916715742322E-4</v>
      </c>
      <c r="V19" s="25">
        <v>0</v>
      </c>
      <c r="W19" s="25">
        <v>0</v>
      </c>
      <c r="X19" s="25">
        <f t="shared" si="0"/>
        <v>1.1494675324315909E-3</v>
      </c>
      <c r="Y19" s="27">
        <f t="shared" si="1"/>
        <v>2.2802371204752845E-2</v>
      </c>
      <c r="Z19" s="25">
        <f t="shared" si="2"/>
        <v>4.4938607159152228E-4</v>
      </c>
      <c r="AA19" s="49">
        <f t="shared" si="3"/>
        <v>2022</v>
      </c>
      <c r="AB19" s="29">
        <f t="shared" si="4"/>
        <v>8.914621535241465E-3</v>
      </c>
      <c r="AC19" s="23">
        <f t="shared" si="5"/>
        <v>229</v>
      </c>
      <c r="AD19" s="23" t="str">
        <f t="shared" si="6"/>
        <v>No</v>
      </c>
    </row>
    <row r="20" spans="1:30" x14ac:dyDescent="0.3">
      <c r="A20" s="23">
        <v>19</v>
      </c>
      <c r="B20" s="21" t="s">
        <v>64</v>
      </c>
      <c r="C20" s="23" t="s">
        <v>342</v>
      </c>
      <c r="D20" s="23">
        <v>-2</v>
      </c>
      <c r="E20" s="23" t="s">
        <v>44</v>
      </c>
      <c r="F20" s="23" t="s">
        <v>42</v>
      </c>
      <c r="G20" s="25">
        <v>2.59</v>
      </c>
      <c r="H20" s="25">
        <v>0</v>
      </c>
      <c r="I20" s="25">
        <v>2.4567473324995847E-3</v>
      </c>
      <c r="J20" s="25">
        <v>0</v>
      </c>
      <c r="K20" s="25">
        <v>0</v>
      </c>
      <c r="L20" s="25">
        <v>0</v>
      </c>
      <c r="M20" s="25"/>
      <c r="N20" s="25">
        <v>0</v>
      </c>
      <c r="O20" s="25">
        <v>0</v>
      </c>
      <c r="P20" s="25">
        <v>5.702222615361548E-3</v>
      </c>
      <c r="Q20" s="25">
        <v>0</v>
      </c>
      <c r="R20" s="25">
        <v>0</v>
      </c>
      <c r="S20" s="25"/>
      <c r="T20" s="25">
        <v>1.2374547310156435E-2</v>
      </c>
      <c r="U20" s="25">
        <v>2.1519585113506765E-4</v>
      </c>
      <c r="V20" s="25">
        <v>1.2251348004816101E-4</v>
      </c>
      <c r="W20" s="25">
        <v>0.66133237353660501</v>
      </c>
      <c r="X20" s="25">
        <f t="shared" si="0"/>
        <v>0.68220360012580583</v>
      </c>
      <c r="Y20" s="27">
        <f t="shared" si="1"/>
        <v>26.339907340764707</v>
      </c>
      <c r="Z20" s="25">
        <f t="shared" si="2"/>
        <v>0.66133237353660501</v>
      </c>
      <c r="AA20" s="49">
        <f t="shared" si="3"/>
        <v>2025</v>
      </c>
      <c r="AB20" s="29">
        <f t="shared" si="4"/>
        <v>25.534068476316797</v>
      </c>
      <c r="AC20" s="23">
        <f t="shared" si="5"/>
        <v>8</v>
      </c>
      <c r="AD20" s="23" t="str">
        <f t="shared" si="6"/>
        <v>Yes</v>
      </c>
    </row>
    <row r="21" spans="1:30" x14ac:dyDescent="0.3">
      <c r="A21" s="23">
        <v>20</v>
      </c>
      <c r="B21" s="21" t="s">
        <v>65</v>
      </c>
      <c r="C21" s="23" t="s">
        <v>343</v>
      </c>
      <c r="D21" s="23">
        <v>-2</v>
      </c>
      <c r="E21" s="23" t="s">
        <v>44</v>
      </c>
      <c r="F21" s="23" t="s">
        <v>42</v>
      </c>
      <c r="G21" s="25">
        <v>4.7450000000000001</v>
      </c>
      <c r="H21" s="25">
        <v>0</v>
      </c>
      <c r="I21" s="25">
        <v>0</v>
      </c>
      <c r="J21" s="25">
        <v>0</v>
      </c>
      <c r="K21" s="25">
        <v>0</v>
      </c>
      <c r="L21" s="25">
        <v>0</v>
      </c>
      <c r="M21" s="25"/>
      <c r="N21" s="25">
        <v>0</v>
      </c>
      <c r="O21" s="25">
        <v>0</v>
      </c>
      <c r="P21" s="25">
        <v>0</v>
      </c>
      <c r="Q21" s="25">
        <v>0</v>
      </c>
      <c r="R21" s="25">
        <v>0</v>
      </c>
      <c r="S21" s="25"/>
      <c r="T21" s="25">
        <v>0</v>
      </c>
      <c r="U21" s="25">
        <v>0</v>
      </c>
      <c r="V21" s="25">
        <v>0</v>
      </c>
      <c r="W21" s="25">
        <v>0</v>
      </c>
      <c r="X21" s="25">
        <f t="shared" si="0"/>
        <v>0</v>
      </c>
      <c r="Y21" s="27">
        <f t="shared" si="1"/>
        <v>0</v>
      </c>
      <c r="Z21" s="25">
        <f t="shared" si="2"/>
        <v>0</v>
      </c>
      <c r="AA21" s="49">
        <f t="shared" si="3"/>
        <v>2010</v>
      </c>
      <c r="AB21" s="29">
        <f t="shared" si="4"/>
        <v>0</v>
      </c>
      <c r="AC21" s="23">
        <f t="shared" si="5"/>
        <v>232</v>
      </c>
      <c r="AD21" s="23" t="str">
        <f t="shared" si="6"/>
        <v>No</v>
      </c>
    </row>
    <row r="22" spans="1:30" x14ac:dyDescent="0.3">
      <c r="A22" s="23">
        <v>21</v>
      </c>
      <c r="B22" s="21" t="s">
        <v>66</v>
      </c>
      <c r="C22" s="23" t="s">
        <v>344</v>
      </c>
      <c r="D22" s="23">
        <v>-3</v>
      </c>
      <c r="E22" s="23" t="s">
        <v>41</v>
      </c>
      <c r="F22" s="23" t="s">
        <v>42</v>
      </c>
      <c r="G22" s="25">
        <v>2.3069999999999999</v>
      </c>
      <c r="H22" s="25">
        <v>0</v>
      </c>
      <c r="I22" s="25">
        <v>0</v>
      </c>
      <c r="J22" s="25">
        <v>0</v>
      </c>
      <c r="K22" s="25">
        <v>0</v>
      </c>
      <c r="L22" s="25">
        <v>0</v>
      </c>
      <c r="M22" s="25"/>
      <c r="N22" s="25">
        <v>0</v>
      </c>
      <c r="O22" s="25">
        <v>0</v>
      </c>
      <c r="P22" s="25">
        <v>2.0797930550766758E-3</v>
      </c>
      <c r="Q22" s="25">
        <v>0</v>
      </c>
      <c r="R22" s="25">
        <v>0</v>
      </c>
      <c r="S22" s="25"/>
      <c r="T22" s="25">
        <v>4.0100862964580301E-4</v>
      </c>
      <c r="U22" s="25">
        <v>2.7403854661143851E-4</v>
      </c>
      <c r="V22" s="25">
        <v>0</v>
      </c>
      <c r="W22" s="25">
        <v>4.55104300685809E-4</v>
      </c>
      <c r="X22" s="25">
        <f t="shared" si="0"/>
        <v>3.2099445320197262E-3</v>
      </c>
      <c r="Y22" s="27">
        <f t="shared" si="1"/>
        <v>0.13913933818897817</v>
      </c>
      <c r="Z22" s="25">
        <f t="shared" si="2"/>
        <v>2.0797930550766758E-3</v>
      </c>
      <c r="AA22" s="49">
        <f t="shared" si="3"/>
        <v>2018</v>
      </c>
      <c r="AB22" s="29">
        <f t="shared" si="4"/>
        <v>9.0151411143332277E-2</v>
      </c>
      <c r="AC22" s="23">
        <f t="shared" si="5"/>
        <v>203</v>
      </c>
      <c r="AD22" s="23" t="str">
        <f t="shared" si="6"/>
        <v>No</v>
      </c>
    </row>
    <row r="23" spans="1:30" x14ac:dyDescent="0.3">
      <c r="A23" s="23">
        <v>22</v>
      </c>
      <c r="B23" s="21" t="s">
        <v>67</v>
      </c>
      <c r="C23" s="23" t="s">
        <v>345</v>
      </c>
      <c r="D23" s="23">
        <v>-2</v>
      </c>
      <c r="E23" s="23" t="s">
        <v>44</v>
      </c>
      <c r="F23" s="23" t="s">
        <v>42</v>
      </c>
      <c r="G23" s="25">
        <v>4.1340000000000003</v>
      </c>
      <c r="H23" s="25">
        <v>4.0006001800019296E-4</v>
      </c>
      <c r="I23" s="25">
        <v>0</v>
      </c>
      <c r="J23" s="25">
        <v>0</v>
      </c>
      <c r="K23" s="25">
        <v>0</v>
      </c>
      <c r="L23" s="25">
        <v>0</v>
      </c>
      <c r="M23" s="25"/>
      <c r="N23" s="25">
        <v>0</v>
      </c>
      <c r="O23" s="25">
        <v>0</v>
      </c>
      <c r="P23" s="25">
        <v>0</v>
      </c>
      <c r="Q23" s="25">
        <v>0</v>
      </c>
      <c r="R23" s="25">
        <v>0</v>
      </c>
      <c r="S23" s="25"/>
      <c r="T23" s="25">
        <v>1.7018300958312465E-4</v>
      </c>
      <c r="U23" s="25">
        <v>0</v>
      </c>
      <c r="V23" s="25">
        <v>0</v>
      </c>
      <c r="W23" s="25">
        <v>6.6543540629342894E-4</v>
      </c>
      <c r="X23" s="25">
        <f t="shared" si="0"/>
        <v>1.2356784338767466E-3</v>
      </c>
      <c r="Y23" s="27">
        <f t="shared" si="1"/>
        <v>2.989062491235478E-2</v>
      </c>
      <c r="Z23" s="25">
        <f t="shared" si="2"/>
        <v>6.6543540629342894E-4</v>
      </c>
      <c r="AA23" s="49">
        <f t="shared" si="3"/>
        <v>2025</v>
      </c>
      <c r="AB23" s="29">
        <f t="shared" si="4"/>
        <v>1.6096647467185025E-2</v>
      </c>
      <c r="AC23" s="23">
        <f t="shared" si="5"/>
        <v>222</v>
      </c>
      <c r="AD23" s="23" t="str">
        <f t="shared" si="6"/>
        <v>No</v>
      </c>
    </row>
    <row r="24" spans="1:30" x14ac:dyDescent="0.3">
      <c r="A24" s="23">
        <v>23</v>
      </c>
      <c r="B24" s="21" t="s">
        <v>68</v>
      </c>
      <c r="C24" s="23" t="s">
        <v>346</v>
      </c>
      <c r="D24" s="23">
        <v>-2</v>
      </c>
      <c r="E24" s="23" t="s">
        <v>44</v>
      </c>
      <c r="F24" s="23" t="s">
        <v>42</v>
      </c>
      <c r="G24" s="25">
        <v>1.5620000000000001</v>
      </c>
      <c r="H24" s="25">
        <v>9.5652869441453369E-4</v>
      </c>
      <c r="I24" s="25">
        <v>0</v>
      </c>
      <c r="J24" s="25">
        <v>0</v>
      </c>
      <c r="K24" s="25">
        <v>0</v>
      </c>
      <c r="L24" s="25">
        <v>0</v>
      </c>
      <c r="M24" s="25"/>
      <c r="N24" s="25">
        <v>0</v>
      </c>
      <c r="O24" s="25">
        <v>0</v>
      </c>
      <c r="P24" s="25">
        <v>8.518846973468244E-4</v>
      </c>
      <c r="Q24" s="25">
        <v>0</v>
      </c>
      <c r="R24" s="25">
        <v>0</v>
      </c>
      <c r="S24" s="25"/>
      <c r="T24" s="25">
        <v>6.7135827120256403E-4</v>
      </c>
      <c r="U24" s="25">
        <v>0</v>
      </c>
      <c r="V24" s="25">
        <v>0</v>
      </c>
      <c r="W24" s="25">
        <v>2.4213745412663919E-2</v>
      </c>
      <c r="X24" s="25">
        <f t="shared" si="0"/>
        <v>2.6693517075627841E-2</v>
      </c>
      <c r="Y24" s="27">
        <f t="shared" si="1"/>
        <v>1.7089319510645222</v>
      </c>
      <c r="Z24" s="25">
        <f t="shared" si="2"/>
        <v>2.4213745412663919E-2</v>
      </c>
      <c r="AA24" s="49">
        <f t="shared" si="3"/>
        <v>2025</v>
      </c>
      <c r="AB24" s="29">
        <f t="shared" si="4"/>
        <v>1.5501757626545403</v>
      </c>
      <c r="AC24" s="23">
        <f t="shared" si="5"/>
        <v>125</v>
      </c>
      <c r="AD24" s="23" t="str">
        <f t="shared" si="6"/>
        <v>No</v>
      </c>
    </row>
    <row r="25" spans="1:30" x14ac:dyDescent="0.3">
      <c r="A25" s="23">
        <v>24</v>
      </c>
      <c r="B25" s="21" t="s">
        <v>69</v>
      </c>
      <c r="C25" s="23" t="s">
        <v>347</v>
      </c>
      <c r="D25" s="23">
        <v>-2</v>
      </c>
      <c r="E25" s="23" t="s">
        <v>44</v>
      </c>
      <c r="F25" s="23" t="s">
        <v>42</v>
      </c>
      <c r="G25" s="25">
        <v>1.641</v>
      </c>
      <c r="H25" s="25">
        <v>0</v>
      </c>
      <c r="I25" s="25">
        <v>0</v>
      </c>
      <c r="J25" s="25">
        <v>0</v>
      </c>
      <c r="K25" s="25">
        <v>0</v>
      </c>
      <c r="L25" s="25">
        <v>0</v>
      </c>
      <c r="M25" s="25"/>
      <c r="N25" s="25">
        <v>0</v>
      </c>
      <c r="O25" s="25">
        <v>0</v>
      </c>
      <c r="P25" s="25">
        <v>0</v>
      </c>
      <c r="Q25" s="25">
        <v>0</v>
      </c>
      <c r="R25" s="25">
        <v>6.3515489825734402E-4</v>
      </c>
      <c r="S25" s="25"/>
      <c r="T25" s="25">
        <v>1.7151558578910008E-3</v>
      </c>
      <c r="U25" s="25">
        <v>1.3883961904211902E-6</v>
      </c>
      <c r="V25" s="25">
        <v>0</v>
      </c>
      <c r="W25" s="25">
        <v>0</v>
      </c>
      <c r="X25" s="25">
        <f t="shared" si="0"/>
        <v>2.3516991523387662E-3</v>
      </c>
      <c r="Y25" s="27">
        <f t="shared" si="1"/>
        <v>0.14330890629730444</v>
      </c>
      <c r="Z25" s="25">
        <f t="shared" si="2"/>
        <v>1.7151558578910008E-3</v>
      </c>
      <c r="AA25" s="49">
        <f t="shared" si="3"/>
        <v>2022</v>
      </c>
      <c r="AB25" s="29">
        <f t="shared" si="4"/>
        <v>0.10451894319872033</v>
      </c>
      <c r="AC25" s="23">
        <f t="shared" si="5"/>
        <v>199</v>
      </c>
      <c r="AD25" s="23" t="str">
        <f t="shared" si="6"/>
        <v>No</v>
      </c>
    </row>
    <row r="26" spans="1:30" x14ac:dyDescent="0.3">
      <c r="A26" s="23">
        <v>25</v>
      </c>
      <c r="B26" s="21" t="s">
        <v>70</v>
      </c>
      <c r="C26" s="23" t="s">
        <v>348</v>
      </c>
      <c r="D26" s="23">
        <v>-2</v>
      </c>
      <c r="E26" s="23" t="s">
        <v>44</v>
      </c>
      <c r="F26" s="23" t="s">
        <v>42</v>
      </c>
      <c r="G26" s="25">
        <v>1.9950000000000001</v>
      </c>
      <c r="H26" s="25">
        <v>1.1652390639993538E-3</v>
      </c>
      <c r="I26" s="25">
        <v>4.1210839131505042E-2</v>
      </c>
      <c r="J26" s="25">
        <v>0</v>
      </c>
      <c r="K26" s="25">
        <v>0</v>
      </c>
      <c r="L26" s="25">
        <v>0</v>
      </c>
      <c r="M26" s="25"/>
      <c r="N26" s="25">
        <v>0</v>
      </c>
      <c r="O26" s="25">
        <v>0</v>
      </c>
      <c r="P26" s="25">
        <v>1.1803788692490197E-3</v>
      </c>
      <c r="Q26" s="25">
        <v>1.8134236814407631E-4</v>
      </c>
      <c r="R26" s="25">
        <v>6.7295135874158589E-4</v>
      </c>
      <c r="S26" s="25"/>
      <c r="T26" s="25">
        <v>3.3818735611706022E-2</v>
      </c>
      <c r="U26" s="25">
        <v>1.6980595160601659E-4</v>
      </c>
      <c r="V26" s="25">
        <v>6.1787059273954946E-4</v>
      </c>
      <c r="W26" s="25">
        <v>1.156655865931214E-3</v>
      </c>
      <c r="X26" s="25">
        <f t="shared" si="0"/>
        <v>8.0173818813621858E-2</v>
      </c>
      <c r="Y26" s="27">
        <f t="shared" si="1"/>
        <v>4.0187377851439523</v>
      </c>
      <c r="Z26" s="25">
        <f t="shared" si="2"/>
        <v>4.1210839131505042E-2</v>
      </c>
      <c r="AA26" s="49">
        <f t="shared" si="3"/>
        <v>2011</v>
      </c>
      <c r="AB26" s="29">
        <f t="shared" si="4"/>
        <v>2.0657062221305784</v>
      </c>
      <c r="AC26" s="23">
        <f t="shared" si="5"/>
        <v>110</v>
      </c>
      <c r="AD26" s="23" t="str">
        <f t="shared" si="6"/>
        <v>No</v>
      </c>
    </row>
    <row r="27" spans="1:30" x14ac:dyDescent="0.3">
      <c r="A27" s="23">
        <v>26</v>
      </c>
      <c r="B27" s="21" t="s">
        <v>71</v>
      </c>
      <c r="C27" s="23" t="s">
        <v>349</v>
      </c>
      <c r="D27" s="23">
        <v>-2</v>
      </c>
      <c r="E27" s="23" t="s">
        <v>44</v>
      </c>
      <c r="F27" s="23" t="s">
        <v>42</v>
      </c>
      <c r="G27" s="25">
        <v>2.343</v>
      </c>
      <c r="H27" s="25">
        <v>3.0133760641521307E-2</v>
      </c>
      <c r="I27" s="25">
        <v>0</v>
      </c>
      <c r="J27" s="25">
        <v>0</v>
      </c>
      <c r="K27" s="25">
        <v>0</v>
      </c>
      <c r="L27" s="25">
        <v>0</v>
      </c>
      <c r="M27" s="25"/>
      <c r="N27" s="25">
        <v>0</v>
      </c>
      <c r="O27" s="25">
        <v>0</v>
      </c>
      <c r="P27" s="25">
        <v>4.7528317997230403E-3</v>
      </c>
      <c r="Q27" s="25">
        <v>0</v>
      </c>
      <c r="R27" s="25">
        <v>0</v>
      </c>
      <c r="S27" s="25"/>
      <c r="T27" s="25">
        <v>8.9844990989134208E-3</v>
      </c>
      <c r="U27" s="25">
        <v>5.6638792279417973E-4</v>
      </c>
      <c r="V27" s="25">
        <v>0</v>
      </c>
      <c r="W27" s="25">
        <v>2.2284641415563213E-2</v>
      </c>
      <c r="X27" s="25">
        <f t="shared" si="0"/>
        <v>6.6722120878515159E-2</v>
      </c>
      <c r="Y27" s="27">
        <f t="shared" si="1"/>
        <v>2.8477217617804165</v>
      </c>
      <c r="Z27" s="25">
        <f t="shared" si="2"/>
        <v>3.0133760641521307E-2</v>
      </c>
      <c r="AA27" s="49">
        <f t="shared" si="3"/>
        <v>2010</v>
      </c>
      <c r="AB27" s="29">
        <f t="shared" si="4"/>
        <v>1.2861186786820875</v>
      </c>
      <c r="AC27" s="23">
        <f t="shared" si="5"/>
        <v>134</v>
      </c>
      <c r="AD27" s="23" t="str">
        <f t="shared" si="6"/>
        <v>No</v>
      </c>
    </row>
    <row r="28" spans="1:30" x14ac:dyDescent="0.3">
      <c r="A28" s="23">
        <v>27</v>
      </c>
      <c r="B28" s="21" t="s">
        <v>72</v>
      </c>
      <c r="C28" s="23" t="s">
        <v>350</v>
      </c>
      <c r="D28" s="23">
        <v>-3</v>
      </c>
      <c r="E28" s="23" t="s">
        <v>41</v>
      </c>
      <c r="F28" s="23" t="s">
        <v>42</v>
      </c>
      <c r="G28" s="25">
        <v>4.367</v>
      </c>
      <c r="H28" s="25">
        <v>4.0028995000035504E-4</v>
      </c>
      <c r="I28" s="25">
        <v>0</v>
      </c>
      <c r="J28" s="25">
        <v>0</v>
      </c>
      <c r="K28" s="25">
        <v>0</v>
      </c>
      <c r="L28" s="25">
        <v>0</v>
      </c>
      <c r="M28" s="25"/>
      <c r="N28" s="25">
        <v>0</v>
      </c>
      <c r="O28" s="25">
        <v>0</v>
      </c>
      <c r="P28" s="25">
        <v>0</v>
      </c>
      <c r="Q28" s="25">
        <v>0</v>
      </c>
      <c r="R28" s="25">
        <v>0</v>
      </c>
      <c r="S28" s="25"/>
      <c r="T28" s="25">
        <v>0</v>
      </c>
      <c r="U28" s="25">
        <v>0</v>
      </c>
      <c r="V28" s="25">
        <v>0</v>
      </c>
      <c r="W28" s="25">
        <v>1.9185428798324138E-3</v>
      </c>
      <c r="X28" s="25">
        <f t="shared" si="0"/>
        <v>2.3188328298327687E-3</v>
      </c>
      <c r="Y28" s="27">
        <f t="shared" si="1"/>
        <v>5.3098988546662902E-2</v>
      </c>
      <c r="Z28" s="25">
        <f t="shared" si="2"/>
        <v>1.9185428798324138E-3</v>
      </c>
      <c r="AA28" s="49">
        <f t="shared" si="3"/>
        <v>2025</v>
      </c>
      <c r="AB28" s="29">
        <f t="shared" si="4"/>
        <v>4.3932742840220147E-2</v>
      </c>
      <c r="AC28" s="23">
        <f t="shared" si="5"/>
        <v>214</v>
      </c>
      <c r="AD28" s="23" t="str">
        <f t="shared" si="6"/>
        <v>No</v>
      </c>
    </row>
    <row r="29" spans="1:30" x14ac:dyDescent="0.3">
      <c r="A29" s="23">
        <v>28</v>
      </c>
      <c r="B29" s="21" t="s">
        <v>73</v>
      </c>
      <c r="C29" s="23" t="s">
        <v>351</v>
      </c>
      <c r="D29" s="23">
        <v>-2</v>
      </c>
      <c r="E29" s="23" t="s">
        <v>44</v>
      </c>
      <c r="F29" s="23" t="s">
        <v>42</v>
      </c>
      <c r="G29" s="25">
        <v>2.1469999999999998</v>
      </c>
      <c r="H29" s="25">
        <v>0</v>
      </c>
      <c r="I29" s="25">
        <v>1.2298523410503552E-2</v>
      </c>
      <c r="J29" s="25">
        <v>0</v>
      </c>
      <c r="K29" s="25">
        <v>0</v>
      </c>
      <c r="L29" s="25">
        <v>0</v>
      </c>
      <c r="M29" s="25"/>
      <c r="N29" s="25">
        <v>0</v>
      </c>
      <c r="O29" s="25">
        <v>0</v>
      </c>
      <c r="P29" s="25">
        <v>9.3841488188816215E-4</v>
      </c>
      <c r="Q29" s="25">
        <v>0</v>
      </c>
      <c r="R29" s="25">
        <v>1.1687452233710791E-4</v>
      </c>
      <c r="S29" s="25"/>
      <c r="T29" s="25">
        <v>5.8070331963756801E-3</v>
      </c>
      <c r="U29" s="25">
        <v>0</v>
      </c>
      <c r="V29" s="25">
        <v>0</v>
      </c>
      <c r="W29" s="25">
        <v>3.2765196718344637E-2</v>
      </c>
      <c r="X29" s="25">
        <f t="shared" si="0"/>
        <v>5.1926042729449139E-2</v>
      </c>
      <c r="Y29" s="27">
        <f t="shared" si="1"/>
        <v>2.4185394843711761</v>
      </c>
      <c r="Z29" s="25">
        <f t="shared" si="2"/>
        <v>3.2765196718344637E-2</v>
      </c>
      <c r="AA29" s="49">
        <f t="shared" si="3"/>
        <v>2025</v>
      </c>
      <c r="AB29" s="29">
        <f t="shared" si="4"/>
        <v>1.5260920688562944</v>
      </c>
      <c r="AC29" s="23">
        <f t="shared" si="5"/>
        <v>126</v>
      </c>
      <c r="AD29" s="23" t="str">
        <f t="shared" si="6"/>
        <v>No</v>
      </c>
    </row>
    <row r="30" spans="1:30" x14ac:dyDescent="0.3">
      <c r="A30" s="23">
        <v>29</v>
      </c>
      <c r="B30" s="21" t="s">
        <v>74</v>
      </c>
      <c r="C30" s="23" t="s">
        <v>352</v>
      </c>
      <c r="D30" s="23">
        <v>-2</v>
      </c>
      <c r="E30" s="23" t="s">
        <v>44</v>
      </c>
      <c r="F30" s="23" t="s">
        <v>42</v>
      </c>
      <c r="G30" s="25">
        <v>2.331</v>
      </c>
      <c r="H30" s="25">
        <v>4.3882818002585443E-3</v>
      </c>
      <c r="I30" s="25">
        <v>0</v>
      </c>
      <c r="J30" s="25">
        <v>0</v>
      </c>
      <c r="K30" s="25">
        <v>0</v>
      </c>
      <c r="L30" s="25">
        <v>0</v>
      </c>
      <c r="M30" s="25"/>
      <c r="N30" s="25">
        <v>0</v>
      </c>
      <c r="O30" s="25">
        <v>0</v>
      </c>
      <c r="P30" s="25">
        <v>1.2830334525781745E-4</v>
      </c>
      <c r="Q30" s="25">
        <v>0</v>
      </c>
      <c r="R30" s="25">
        <v>0</v>
      </c>
      <c r="S30" s="25"/>
      <c r="T30" s="25">
        <v>1.4175347669934853E-4</v>
      </c>
      <c r="U30" s="25">
        <v>0</v>
      </c>
      <c r="V30" s="25">
        <v>0</v>
      </c>
      <c r="W30" s="25">
        <v>3.9606778513507664E-4</v>
      </c>
      <c r="X30" s="25">
        <f t="shared" si="0"/>
        <v>5.0544064073507877E-3</v>
      </c>
      <c r="Y30" s="27">
        <f t="shared" si="1"/>
        <v>0.21683425170960052</v>
      </c>
      <c r="Z30" s="25">
        <f t="shared" si="2"/>
        <v>4.3882818002585443E-3</v>
      </c>
      <c r="AA30" s="49">
        <f t="shared" si="3"/>
        <v>2010</v>
      </c>
      <c r="AB30" s="29">
        <f t="shared" si="4"/>
        <v>0.18825747748856905</v>
      </c>
      <c r="AC30" s="23">
        <f t="shared" si="5"/>
        <v>186</v>
      </c>
      <c r="AD30" s="23" t="str">
        <f t="shared" si="6"/>
        <v>No</v>
      </c>
    </row>
    <row r="31" spans="1:30" x14ac:dyDescent="0.3">
      <c r="A31" s="23">
        <v>30</v>
      </c>
      <c r="B31" s="21" t="s">
        <v>75</v>
      </c>
      <c r="C31" s="23" t="s">
        <v>353</v>
      </c>
      <c r="D31" s="23">
        <v>-3</v>
      </c>
      <c r="E31" s="23" t="s">
        <v>41</v>
      </c>
      <c r="F31" s="23" t="s">
        <v>42</v>
      </c>
      <c r="G31" s="25">
        <v>1.2010000000000001</v>
      </c>
      <c r="H31" s="25">
        <v>0</v>
      </c>
      <c r="I31" s="25">
        <v>0</v>
      </c>
      <c r="J31" s="25">
        <v>0</v>
      </c>
      <c r="K31" s="25">
        <v>0</v>
      </c>
      <c r="L31" s="25">
        <v>0</v>
      </c>
      <c r="M31" s="25"/>
      <c r="N31" s="25">
        <v>0</v>
      </c>
      <c r="O31" s="25">
        <v>0</v>
      </c>
      <c r="P31" s="25">
        <v>4.2144565519451859E-4</v>
      </c>
      <c r="Q31" s="25">
        <v>0</v>
      </c>
      <c r="R31" s="25">
        <v>0</v>
      </c>
      <c r="S31" s="25"/>
      <c r="T31" s="25">
        <v>7.8356582260266032E-4</v>
      </c>
      <c r="U31" s="25">
        <v>2.2051815014128488E-4</v>
      </c>
      <c r="V31" s="25">
        <v>2.4887375011618134E-4</v>
      </c>
      <c r="W31" s="25">
        <v>7.8704825233113108E-3</v>
      </c>
      <c r="X31" s="25">
        <f t="shared" si="0"/>
        <v>9.5448859013659553E-3</v>
      </c>
      <c r="Y31" s="27">
        <f t="shared" si="1"/>
        <v>0.79474487105461733</v>
      </c>
      <c r="Z31" s="25">
        <f t="shared" si="2"/>
        <v>7.8704825233113108E-3</v>
      </c>
      <c r="AA31" s="49">
        <f t="shared" si="3"/>
        <v>2025</v>
      </c>
      <c r="AB31" s="29">
        <f t="shared" si="4"/>
        <v>0.65532743741143307</v>
      </c>
      <c r="AC31" s="23">
        <f t="shared" si="5"/>
        <v>160</v>
      </c>
      <c r="AD31" s="23" t="str">
        <f t="shared" si="6"/>
        <v>No</v>
      </c>
    </row>
    <row r="32" spans="1:30" x14ac:dyDescent="0.3">
      <c r="A32" s="23">
        <v>31</v>
      </c>
      <c r="B32" s="21" t="s">
        <v>76</v>
      </c>
      <c r="C32" s="23" t="s">
        <v>354</v>
      </c>
      <c r="D32" s="23">
        <v>-2</v>
      </c>
      <c r="E32" s="23" t="s">
        <v>44</v>
      </c>
      <c r="F32" s="23" t="s">
        <v>42</v>
      </c>
      <c r="G32" s="25">
        <v>1.1639999999999999</v>
      </c>
      <c r="H32" s="25">
        <v>8.4380196348321154E-3</v>
      </c>
      <c r="I32" s="25">
        <v>0</v>
      </c>
      <c r="J32" s="25">
        <v>0</v>
      </c>
      <c r="K32" s="25">
        <v>0</v>
      </c>
      <c r="L32" s="25">
        <v>0</v>
      </c>
      <c r="M32" s="25"/>
      <c r="N32" s="25">
        <v>0</v>
      </c>
      <c r="O32" s="25">
        <v>0</v>
      </c>
      <c r="P32" s="25">
        <v>5.9948600141836467E-3</v>
      </c>
      <c r="Q32" s="25">
        <v>0</v>
      </c>
      <c r="R32" s="25">
        <v>0</v>
      </c>
      <c r="S32" s="25"/>
      <c r="T32" s="25">
        <v>5.4883213445132539E-3</v>
      </c>
      <c r="U32" s="25">
        <v>0</v>
      </c>
      <c r="V32" s="25">
        <v>5.0197170018823815E-4</v>
      </c>
      <c r="W32" s="25">
        <v>1.3060351166223026E-2</v>
      </c>
      <c r="X32" s="25">
        <f t="shared" si="0"/>
        <v>3.348352385994028E-2</v>
      </c>
      <c r="Y32" s="27">
        <f t="shared" si="1"/>
        <v>2.8765913969020862</v>
      </c>
      <c r="Z32" s="25">
        <f t="shared" si="2"/>
        <v>1.3060351166223026E-2</v>
      </c>
      <c r="AA32" s="49">
        <f t="shared" si="3"/>
        <v>2025</v>
      </c>
      <c r="AB32" s="29">
        <f t="shared" si="4"/>
        <v>1.1220232960672702</v>
      </c>
      <c r="AC32" s="23">
        <f t="shared" si="5"/>
        <v>140</v>
      </c>
      <c r="AD32" s="23" t="str">
        <f t="shared" si="6"/>
        <v>No</v>
      </c>
    </row>
    <row r="33" spans="1:30" x14ac:dyDescent="0.3">
      <c r="A33" s="23">
        <v>32</v>
      </c>
      <c r="B33" s="21" t="s">
        <v>77</v>
      </c>
      <c r="C33" s="23" t="s">
        <v>355</v>
      </c>
      <c r="D33" s="23">
        <v>-4</v>
      </c>
      <c r="E33" s="23" t="s">
        <v>46</v>
      </c>
      <c r="F33" s="23" t="s">
        <v>42</v>
      </c>
      <c r="G33" s="25">
        <v>3.5270000000000001</v>
      </c>
      <c r="H33" s="25">
        <v>0</v>
      </c>
      <c r="I33" s="25">
        <v>0</v>
      </c>
      <c r="J33" s="25">
        <v>0</v>
      </c>
      <c r="K33" s="25">
        <v>0</v>
      </c>
      <c r="L33" s="25">
        <v>0</v>
      </c>
      <c r="M33" s="25"/>
      <c r="N33" s="25">
        <v>0</v>
      </c>
      <c r="O33" s="25">
        <v>0</v>
      </c>
      <c r="P33" s="25">
        <v>0</v>
      </c>
      <c r="Q33" s="25">
        <v>0</v>
      </c>
      <c r="R33" s="25">
        <v>0</v>
      </c>
      <c r="S33" s="25"/>
      <c r="T33" s="25">
        <v>0</v>
      </c>
      <c r="U33" s="25">
        <v>8.0913364799006381E-4</v>
      </c>
      <c r="V33" s="25">
        <v>0</v>
      </c>
      <c r="W33" s="25">
        <v>0</v>
      </c>
      <c r="X33" s="25">
        <f t="shared" si="0"/>
        <v>8.0913364799006381E-4</v>
      </c>
      <c r="Y33" s="27">
        <f t="shared" si="1"/>
        <v>2.2941129798414058E-2</v>
      </c>
      <c r="Z33" s="25">
        <f t="shared" si="2"/>
        <v>8.0913364799006381E-4</v>
      </c>
      <c r="AA33" s="49">
        <f t="shared" si="3"/>
        <v>2023</v>
      </c>
      <c r="AB33" s="29">
        <f t="shared" si="4"/>
        <v>2.2941129798414058E-2</v>
      </c>
      <c r="AC33" s="23">
        <f t="shared" si="5"/>
        <v>218</v>
      </c>
      <c r="AD33" s="23" t="str">
        <f t="shared" si="6"/>
        <v>No</v>
      </c>
    </row>
    <row r="34" spans="1:30" x14ac:dyDescent="0.3">
      <c r="A34" s="23">
        <v>33</v>
      </c>
      <c r="B34" s="21" t="s">
        <v>78</v>
      </c>
      <c r="C34" s="23" t="s">
        <v>356</v>
      </c>
      <c r="D34" s="23">
        <v>-2</v>
      </c>
      <c r="E34" s="23" t="s">
        <v>44</v>
      </c>
      <c r="F34" s="23" t="s">
        <v>42</v>
      </c>
      <c r="G34" s="25">
        <v>0.66500000000000004</v>
      </c>
      <c r="H34" s="25">
        <v>2.1663415270665428E-3</v>
      </c>
      <c r="I34" s="25">
        <v>0</v>
      </c>
      <c r="J34" s="25">
        <v>0</v>
      </c>
      <c r="K34" s="25">
        <v>0</v>
      </c>
      <c r="L34" s="25">
        <v>0</v>
      </c>
      <c r="M34" s="25"/>
      <c r="N34" s="25">
        <v>0</v>
      </c>
      <c r="O34" s="25">
        <v>0</v>
      </c>
      <c r="P34" s="25">
        <v>5.7827578472829629E-3</v>
      </c>
      <c r="Q34" s="25">
        <v>0</v>
      </c>
      <c r="R34" s="25">
        <v>0</v>
      </c>
      <c r="S34" s="25"/>
      <c r="T34" s="25">
        <v>3.9084422581323042E-4</v>
      </c>
      <c r="U34" s="25">
        <v>0</v>
      </c>
      <c r="V34" s="25">
        <v>0</v>
      </c>
      <c r="W34" s="25">
        <v>6.3472760187148125E-3</v>
      </c>
      <c r="X34" s="25">
        <f t="shared" si="0"/>
        <v>1.4687219618877548E-2</v>
      </c>
      <c r="Y34" s="27">
        <f t="shared" si="1"/>
        <v>2.2086044539665486</v>
      </c>
      <c r="Z34" s="25">
        <f t="shared" si="2"/>
        <v>6.3472760187148125E-3</v>
      </c>
      <c r="AA34" s="49">
        <f t="shared" si="3"/>
        <v>2025</v>
      </c>
      <c r="AB34" s="29">
        <f t="shared" si="4"/>
        <v>0.95447759679921984</v>
      </c>
      <c r="AC34" s="23">
        <f t="shared" si="5"/>
        <v>147</v>
      </c>
      <c r="AD34" s="23" t="str">
        <f t="shared" si="6"/>
        <v>No</v>
      </c>
    </row>
    <row r="35" spans="1:30" x14ac:dyDescent="0.3">
      <c r="A35" s="23">
        <v>34</v>
      </c>
      <c r="B35" s="21" t="s">
        <v>79</v>
      </c>
      <c r="C35" s="23" t="s">
        <v>357</v>
      </c>
      <c r="D35" s="23">
        <v>-2</v>
      </c>
      <c r="E35" s="23" t="s">
        <v>44</v>
      </c>
      <c r="F35" s="23" t="s">
        <v>42</v>
      </c>
      <c r="G35" s="25">
        <v>2.1520000000000001</v>
      </c>
      <c r="H35" s="25">
        <v>0</v>
      </c>
      <c r="I35" s="25">
        <v>2.8164657499949953E-5</v>
      </c>
      <c r="J35" s="25">
        <v>0</v>
      </c>
      <c r="K35" s="25">
        <v>0</v>
      </c>
      <c r="L35" s="25">
        <v>0</v>
      </c>
      <c r="M35" s="25"/>
      <c r="N35" s="25">
        <v>0</v>
      </c>
      <c r="O35" s="25">
        <v>0</v>
      </c>
      <c r="P35" s="25">
        <v>0</v>
      </c>
      <c r="Q35" s="25">
        <v>0</v>
      </c>
      <c r="R35" s="25">
        <v>1.6332876497611868E-4</v>
      </c>
      <c r="S35" s="25"/>
      <c r="T35" s="25">
        <v>4.4306482293654699E-4</v>
      </c>
      <c r="U35" s="25">
        <v>2.1550071526257671E-4</v>
      </c>
      <c r="V35" s="25">
        <v>0</v>
      </c>
      <c r="W35" s="25">
        <v>0</v>
      </c>
      <c r="X35" s="25">
        <f t="shared" si="0"/>
        <v>8.5005896067519228E-4</v>
      </c>
      <c r="Y35" s="27">
        <f t="shared" si="1"/>
        <v>3.9500881072267298E-2</v>
      </c>
      <c r="Z35" s="25">
        <f t="shared" si="2"/>
        <v>4.4306482293654699E-4</v>
      </c>
      <c r="AA35" s="49">
        <f t="shared" si="3"/>
        <v>2022</v>
      </c>
      <c r="AB35" s="29">
        <f t="shared" si="4"/>
        <v>2.058851407697709E-2</v>
      </c>
      <c r="AC35" s="23">
        <f t="shared" si="5"/>
        <v>220</v>
      </c>
      <c r="AD35" s="23" t="str">
        <f t="shared" si="6"/>
        <v>No</v>
      </c>
    </row>
    <row r="36" spans="1:30" x14ac:dyDescent="0.3">
      <c r="A36" s="23">
        <v>35</v>
      </c>
      <c r="B36" s="21" t="s">
        <v>80</v>
      </c>
      <c r="C36" s="23" t="s">
        <v>358</v>
      </c>
      <c r="D36" s="23">
        <v>-2</v>
      </c>
      <c r="E36" s="23" t="s">
        <v>44</v>
      </c>
      <c r="F36" s="23" t="s">
        <v>42</v>
      </c>
      <c r="G36" s="25">
        <v>1.9219999999999999</v>
      </c>
      <c r="H36" s="25">
        <v>8.1718024749937465E-4</v>
      </c>
      <c r="I36" s="25">
        <v>5.5515782530490693E-2</v>
      </c>
      <c r="J36" s="25">
        <v>0</v>
      </c>
      <c r="K36" s="25">
        <v>0</v>
      </c>
      <c r="L36" s="25">
        <v>0</v>
      </c>
      <c r="M36" s="25"/>
      <c r="N36" s="25">
        <v>0</v>
      </c>
      <c r="O36" s="25">
        <v>0</v>
      </c>
      <c r="P36" s="25">
        <v>3.2489677195029798E-4</v>
      </c>
      <c r="Q36" s="25">
        <v>0</v>
      </c>
      <c r="R36" s="25">
        <v>0</v>
      </c>
      <c r="S36" s="25"/>
      <c r="T36" s="25">
        <v>2.1458071805270261E-3</v>
      </c>
      <c r="U36" s="25">
        <v>2.6239595003650174E-4</v>
      </c>
      <c r="V36" s="25">
        <v>1.5356255008582958E-4</v>
      </c>
      <c r="W36" s="25">
        <v>1.3800794704759027E-4</v>
      </c>
      <c r="X36" s="25">
        <f t="shared" si="0"/>
        <v>5.9357633177637308E-2</v>
      </c>
      <c r="Y36" s="27">
        <f t="shared" si="1"/>
        <v>3.088326388014428</v>
      </c>
      <c r="Z36" s="25">
        <f t="shared" si="2"/>
        <v>5.5515782530490693E-2</v>
      </c>
      <c r="AA36" s="49">
        <f t="shared" si="3"/>
        <v>2011</v>
      </c>
      <c r="AB36" s="29">
        <f t="shared" si="4"/>
        <v>2.8884382169870286</v>
      </c>
      <c r="AC36" s="23">
        <f t="shared" si="5"/>
        <v>90</v>
      </c>
      <c r="AD36" s="23" t="str">
        <f t="shared" si="6"/>
        <v>No</v>
      </c>
    </row>
    <row r="37" spans="1:30" x14ac:dyDescent="0.3">
      <c r="A37" s="23">
        <v>36</v>
      </c>
      <c r="B37" s="21" t="s">
        <v>81</v>
      </c>
      <c r="C37" s="23" t="s">
        <v>359</v>
      </c>
      <c r="D37" s="23">
        <v>-2</v>
      </c>
      <c r="E37" s="23" t="s">
        <v>44</v>
      </c>
      <c r="F37" s="23" t="s">
        <v>42</v>
      </c>
      <c r="G37" s="25">
        <v>4.9160000000000004</v>
      </c>
      <c r="H37" s="25">
        <v>0</v>
      </c>
      <c r="I37" s="25">
        <v>5.1270520935004366E-2</v>
      </c>
      <c r="J37" s="25">
        <v>0</v>
      </c>
      <c r="K37" s="25">
        <v>0</v>
      </c>
      <c r="L37" s="25">
        <v>0</v>
      </c>
      <c r="M37" s="25"/>
      <c r="N37" s="25">
        <v>0</v>
      </c>
      <c r="O37" s="25">
        <v>0</v>
      </c>
      <c r="P37" s="25">
        <v>2.3929273184108532E-3</v>
      </c>
      <c r="Q37" s="25">
        <v>0</v>
      </c>
      <c r="R37" s="25">
        <v>0</v>
      </c>
      <c r="S37" s="25"/>
      <c r="T37" s="25">
        <v>3.2823346853265494E-3</v>
      </c>
      <c r="U37" s="25">
        <v>0</v>
      </c>
      <c r="V37" s="25">
        <v>2.1670581906492589E-4</v>
      </c>
      <c r="W37" s="25">
        <v>0</v>
      </c>
      <c r="X37" s="25">
        <f t="shared" si="0"/>
        <v>5.7162488757806697E-2</v>
      </c>
      <c r="Y37" s="27">
        <f t="shared" si="1"/>
        <v>1.1627845556917553</v>
      </c>
      <c r="Z37" s="25">
        <f t="shared" si="2"/>
        <v>5.1270520935004366E-2</v>
      </c>
      <c r="AA37" s="49">
        <f t="shared" si="3"/>
        <v>2011</v>
      </c>
      <c r="AB37" s="29">
        <f t="shared" si="4"/>
        <v>1.0429316707690066</v>
      </c>
      <c r="AC37" s="23">
        <f t="shared" si="5"/>
        <v>144</v>
      </c>
      <c r="AD37" s="23" t="str">
        <f t="shared" si="6"/>
        <v>No</v>
      </c>
    </row>
    <row r="38" spans="1:30" x14ac:dyDescent="0.3">
      <c r="A38" s="23">
        <v>37</v>
      </c>
      <c r="B38" s="21" t="s">
        <v>82</v>
      </c>
      <c r="C38" s="23" t="s">
        <v>360</v>
      </c>
      <c r="D38" s="23">
        <v>-2</v>
      </c>
      <c r="E38" s="23" t="s">
        <v>44</v>
      </c>
      <c r="F38" s="23" t="s">
        <v>42</v>
      </c>
      <c r="G38" s="25">
        <v>2.286</v>
      </c>
      <c r="H38" s="25">
        <v>0.28215948585676076</v>
      </c>
      <c r="I38" s="25">
        <v>0</v>
      </c>
      <c r="J38" s="25">
        <v>0</v>
      </c>
      <c r="K38" s="25">
        <v>2.424290649081231E-4</v>
      </c>
      <c r="L38" s="25">
        <v>0</v>
      </c>
      <c r="M38" s="25"/>
      <c r="N38" s="25">
        <v>0</v>
      </c>
      <c r="O38" s="25">
        <v>0</v>
      </c>
      <c r="P38" s="25">
        <v>5.1462672972365708E-3</v>
      </c>
      <c r="Q38" s="25">
        <v>0</v>
      </c>
      <c r="R38" s="25">
        <v>0</v>
      </c>
      <c r="S38" s="25"/>
      <c r="T38" s="25">
        <v>1.6608395161209046E-3</v>
      </c>
      <c r="U38" s="25">
        <v>6.2549745021869602E-4</v>
      </c>
      <c r="V38" s="25">
        <v>6.2549745021783744E-4</v>
      </c>
      <c r="W38" s="25">
        <v>8.8811063393928816E-2</v>
      </c>
      <c r="X38" s="25">
        <f t="shared" si="0"/>
        <v>0.37927108002939164</v>
      </c>
      <c r="Y38" s="27">
        <f t="shared" si="1"/>
        <v>16.59103587180191</v>
      </c>
      <c r="Z38" s="25">
        <f t="shared" si="2"/>
        <v>0.28215948585676076</v>
      </c>
      <c r="AA38" s="49">
        <f t="shared" si="3"/>
        <v>2010</v>
      </c>
      <c r="AB38" s="29">
        <f t="shared" si="4"/>
        <v>12.342934639403358</v>
      </c>
      <c r="AC38" s="23">
        <f t="shared" si="5"/>
        <v>22</v>
      </c>
      <c r="AD38" s="23" t="str">
        <f t="shared" si="6"/>
        <v>Yes</v>
      </c>
    </row>
    <row r="39" spans="1:30" x14ac:dyDescent="0.3">
      <c r="A39" s="23">
        <v>38</v>
      </c>
      <c r="B39" s="21" t="s">
        <v>83</v>
      </c>
      <c r="C39" s="23" t="s">
        <v>361</v>
      </c>
      <c r="D39" s="23">
        <v>-1</v>
      </c>
      <c r="E39" s="23" t="s">
        <v>55</v>
      </c>
      <c r="F39" s="23" t="s">
        <v>42</v>
      </c>
      <c r="G39" s="25">
        <v>1.196</v>
      </c>
      <c r="H39" s="25">
        <v>0</v>
      </c>
      <c r="I39" s="25">
        <v>0</v>
      </c>
      <c r="J39" s="25">
        <v>0</v>
      </c>
      <c r="K39" s="25">
        <v>0</v>
      </c>
      <c r="L39" s="25">
        <v>0</v>
      </c>
      <c r="M39" s="25"/>
      <c r="N39" s="25">
        <v>0</v>
      </c>
      <c r="O39" s="25">
        <v>0</v>
      </c>
      <c r="P39" s="25">
        <v>1.2829397266953901E-3</v>
      </c>
      <c r="Q39" s="25">
        <v>0</v>
      </c>
      <c r="R39" s="25">
        <v>0</v>
      </c>
      <c r="S39" s="25"/>
      <c r="T39" s="25">
        <v>1.5198204342435602E-3</v>
      </c>
      <c r="U39" s="25">
        <v>0</v>
      </c>
      <c r="V39" s="25">
        <v>1.7518340010032988E-4</v>
      </c>
      <c r="W39" s="25">
        <v>9.3051548986935947E-3</v>
      </c>
      <c r="X39" s="25">
        <f t="shared" si="0"/>
        <v>1.2283098459732874E-2</v>
      </c>
      <c r="Y39" s="27">
        <f t="shared" si="1"/>
        <v>1.0270149213823474</v>
      </c>
      <c r="Z39" s="25">
        <f t="shared" si="2"/>
        <v>9.3051548986935947E-3</v>
      </c>
      <c r="AA39" s="49">
        <f t="shared" si="3"/>
        <v>2025</v>
      </c>
      <c r="AB39" s="29">
        <f t="shared" si="4"/>
        <v>0.77802298484060162</v>
      </c>
      <c r="AC39" s="23">
        <f t="shared" si="5"/>
        <v>155</v>
      </c>
      <c r="AD39" s="23" t="str">
        <f t="shared" si="6"/>
        <v>No</v>
      </c>
    </row>
    <row r="40" spans="1:30" x14ac:dyDescent="0.3">
      <c r="A40" s="23">
        <v>39</v>
      </c>
      <c r="B40" s="21" t="s">
        <v>84</v>
      </c>
      <c r="C40" s="23" t="s">
        <v>362</v>
      </c>
      <c r="D40" s="23">
        <v>-2</v>
      </c>
      <c r="E40" s="23" t="s">
        <v>44</v>
      </c>
      <c r="F40" s="23" t="s">
        <v>42</v>
      </c>
      <c r="G40" s="25">
        <v>3.0939999999999999</v>
      </c>
      <c r="H40" s="25">
        <v>3.5427265738148707E-4</v>
      </c>
      <c r="I40" s="25">
        <v>1.1241227119993273E-3</v>
      </c>
      <c r="J40" s="25">
        <v>0</v>
      </c>
      <c r="K40" s="25">
        <v>0</v>
      </c>
      <c r="L40" s="25">
        <v>0</v>
      </c>
      <c r="M40" s="25"/>
      <c r="N40" s="25">
        <v>0</v>
      </c>
      <c r="O40" s="25">
        <v>0</v>
      </c>
      <c r="P40" s="25">
        <v>0</v>
      </c>
      <c r="Q40" s="25">
        <v>0</v>
      </c>
      <c r="R40" s="25">
        <v>0</v>
      </c>
      <c r="S40" s="25"/>
      <c r="T40" s="25">
        <v>2.8146042801547801E-3</v>
      </c>
      <c r="U40" s="25">
        <v>0</v>
      </c>
      <c r="V40" s="25">
        <v>0</v>
      </c>
      <c r="W40" s="25">
        <v>0</v>
      </c>
      <c r="X40" s="25">
        <f t="shared" si="0"/>
        <v>4.2929996495355942E-3</v>
      </c>
      <c r="Y40" s="27">
        <f t="shared" si="1"/>
        <v>0.13875241271931463</v>
      </c>
      <c r="Z40" s="25">
        <f t="shared" si="2"/>
        <v>2.8146042801547801E-3</v>
      </c>
      <c r="AA40" s="49">
        <f t="shared" si="3"/>
        <v>2022</v>
      </c>
      <c r="AB40" s="29">
        <f t="shared" si="4"/>
        <v>9.0969756953936012E-2</v>
      </c>
      <c r="AC40" s="23">
        <f t="shared" si="5"/>
        <v>202</v>
      </c>
      <c r="AD40" s="23" t="str">
        <f t="shared" si="6"/>
        <v>No</v>
      </c>
    </row>
    <row r="41" spans="1:30" x14ac:dyDescent="0.3">
      <c r="A41" s="23">
        <v>40</v>
      </c>
      <c r="B41" s="21" t="s">
        <v>85</v>
      </c>
      <c r="C41" s="23" t="s">
        <v>363</v>
      </c>
      <c r="D41" s="23">
        <v>-2</v>
      </c>
      <c r="E41" s="23" t="s">
        <v>44</v>
      </c>
      <c r="F41" s="23" t="s">
        <v>42</v>
      </c>
      <c r="G41" s="25">
        <v>1.349</v>
      </c>
      <c r="H41" s="25">
        <v>0</v>
      </c>
      <c r="I41" s="25">
        <v>1.7678839583516768E-2</v>
      </c>
      <c r="J41" s="25">
        <v>0</v>
      </c>
      <c r="K41" s="25">
        <v>0</v>
      </c>
      <c r="L41" s="25">
        <v>0</v>
      </c>
      <c r="M41" s="25"/>
      <c r="N41" s="25">
        <v>0</v>
      </c>
      <c r="O41" s="25">
        <v>0</v>
      </c>
      <c r="P41" s="25">
        <v>3.9986774961132325E-4</v>
      </c>
      <c r="Q41" s="25">
        <v>0</v>
      </c>
      <c r="R41" s="25">
        <v>0</v>
      </c>
      <c r="S41" s="25"/>
      <c r="T41" s="25">
        <v>9.4313985685278855E-4</v>
      </c>
      <c r="U41" s="25">
        <v>0</v>
      </c>
      <c r="V41" s="25">
        <v>0</v>
      </c>
      <c r="W41" s="25">
        <v>1.2433083306695334E-4</v>
      </c>
      <c r="X41" s="25">
        <f t="shared" si="0"/>
        <v>1.9146178023047834E-2</v>
      </c>
      <c r="Y41" s="27">
        <f t="shared" si="1"/>
        <v>1.4192867326202991</v>
      </c>
      <c r="Z41" s="25">
        <f t="shared" si="2"/>
        <v>1.7678839583516768E-2</v>
      </c>
      <c r="AA41" s="49">
        <f t="shared" si="3"/>
        <v>2011</v>
      </c>
      <c r="AB41" s="29">
        <f t="shared" si="4"/>
        <v>1.3105144242784854</v>
      </c>
      <c r="AC41" s="23">
        <f t="shared" si="5"/>
        <v>133</v>
      </c>
      <c r="AD41" s="23" t="str">
        <f t="shared" si="6"/>
        <v>No</v>
      </c>
    </row>
    <row r="42" spans="1:30" x14ac:dyDescent="0.3">
      <c r="A42" s="23">
        <v>41</v>
      </c>
      <c r="B42" s="21" t="s">
        <v>86</v>
      </c>
      <c r="C42" s="23" t="s">
        <v>364</v>
      </c>
      <c r="D42" s="23">
        <v>-1</v>
      </c>
      <c r="E42" s="23" t="s">
        <v>55</v>
      </c>
      <c r="F42" s="23" t="s">
        <v>42</v>
      </c>
      <c r="G42" s="25">
        <v>1.21</v>
      </c>
      <c r="H42" s="25">
        <v>0</v>
      </c>
      <c r="I42" s="25">
        <v>0</v>
      </c>
      <c r="J42" s="25">
        <v>0</v>
      </c>
      <c r="K42" s="25">
        <v>0</v>
      </c>
      <c r="L42" s="25">
        <v>0</v>
      </c>
      <c r="M42" s="25"/>
      <c r="N42" s="25">
        <v>0</v>
      </c>
      <c r="O42" s="25">
        <v>0</v>
      </c>
      <c r="P42" s="25">
        <v>0</v>
      </c>
      <c r="Q42" s="25">
        <v>0</v>
      </c>
      <c r="R42" s="25">
        <v>0</v>
      </c>
      <c r="S42" s="25"/>
      <c r="T42" s="25">
        <v>0</v>
      </c>
      <c r="U42" s="25">
        <v>0</v>
      </c>
      <c r="V42" s="25">
        <v>0</v>
      </c>
      <c r="W42" s="25">
        <v>2.0516484743636102E-4</v>
      </c>
      <c r="X42" s="25">
        <f t="shared" si="0"/>
        <v>2.0516484743636102E-4</v>
      </c>
      <c r="Y42" s="27">
        <f t="shared" si="1"/>
        <v>1.6955772515401736E-2</v>
      </c>
      <c r="Z42" s="25">
        <f t="shared" si="2"/>
        <v>2.0516484743636102E-4</v>
      </c>
      <c r="AA42" s="49">
        <f t="shared" si="3"/>
        <v>2025</v>
      </c>
      <c r="AB42" s="29">
        <f t="shared" si="4"/>
        <v>1.6955772515401736E-2</v>
      </c>
      <c r="AC42" s="23">
        <f t="shared" si="5"/>
        <v>221</v>
      </c>
      <c r="AD42" s="23" t="str">
        <f t="shared" si="6"/>
        <v>No</v>
      </c>
    </row>
    <row r="43" spans="1:30" x14ac:dyDescent="0.3">
      <c r="A43" s="23">
        <v>42</v>
      </c>
      <c r="B43" s="21" t="s">
        <v>87</v>
      </c>
      <c r="C43" s="23" t="s">
        <v>365</v>
      </c>
      <c r="D43" s="23">
        <v>-3</v>
      </c>
      <c r="E43" s="23" t="s">
        <v>41</v>
      </c>
      <c r="F43" s="23" t="s">
        <v>42</v>
      </c>
      <c r="G43" s="25">
        <v>5.7709999999999999</v>
      </c>
      <c r="H43" s="25">
        <v>0</v>
      </c>
      <c r="I43" s="25">
        <v>0</v>
      </c>
      <c r="J43" s="25">
        <v>0</v>
      </c>
      <c r="K43" s="25">
        <v>0</v>
      </c>
      <c r="L43" s="25">
        <v>0</v>
      </c>
      <c r="M43" s="25"/>
      <c r="N43" s="25">
        <v>0</v>
      </c>
      <c r="O43" s="25">
        <v>0</v>
      </c>
      <c r="P43" s="25">
        <v>0</v>
      </c>
      <c r="Q43" s="25">
        <v>0</v>
      </c>
      <c r="R43" s="25">
        <v>1.3959963707492222E-2</v>
      </c>
      <c r="S43" s="25"/>
      <c r="T43" s="25">
        <v>1.7561068906288054E-2</v>
      </c>
      <c r="U43" s="25">
        <v>0</v>
      </c>
      <c r="V43" s="25">
        <v>0</v>
      </c>
      <c r="W43" s="25">
        <v>0</v>
      </c>
      <c r="X43" s="25">
        <f t="shared" si="0"/>
        <v>3.1521032613780274E-2</v>
      </c>
      <c r="Y43" s="27">
        <f t="shared" si="1"/>
        <v>0.54619706487229724</v>
      </c>
      <c r="Z43" s="25">
        <f t="shared" si="2"/>
        <v>1.7561068906288054E-2</v>
      </c>
      <c r="AA43" s="49">
        <f t="shared" si="3"/>
        <v>2022</v>
      </c>
      <c r="AB43" s="29">
        <f t="shared" si="4"/>
        <v>0.30429854282252738</v>
      </c>
      <c r="AC43" s="23">
        <f t="shared" si="5"/>
        <v>177</v>
      </c>
      <c r="AD43" s="23" t="str">
        <f t="shared" si="6"/>
        <v>No</v>
      </c>
    </row>
    <row r="44" spans="1:30" x14ac:dyDescent="0.3">
      <c r="A44" s="23">
        <v>43</v>
      </c>
      <c r="B44" s="21" t="s">
        <v>88</v>
      </c>
      <c r="C44" s="23" t="s">
        <v>366</v>
      </c>
      <c r="D44" s="23">
        <v>-3</v>
      </c>
      <c r="E44" s="23" t="s">
        <v>41</v>
      </c>
      <c r="F44" s="23" t="s">
        <v>42</v>
      </c>
      <c r="G44" s="25">
        <v>1.4850000000000001</v>
      </c>
      <c r="H44" s="25">
        <v>0</v>
      </c>
      <c r="I44" s="25">
        <v>2.7242776847005244E-2</v>
      </c>
      <c r="J44" s="25">
        <v>0</v>
      </c>
      <c r="K44" s="25">
        <v>0</v>
      </c>
      <c r="L44" s="25">
        <v>0</v>
      </c>
      <c r="M44" s="25"/>
      <c r="N44" s="25">
        <v>0</v>
      </c>
      <c r="O44" s="25">
        <v>0</v>
      </c>
      <c r="P44" s="25">
        <v>7.3057681580778442E-4</v>
      </c>
      <c r="Q44" s="25">
        <v>0</v>
      </c>
      <c r="R44" s="25">
        <v>0</v>
      </c>
      <c r="S44" s="25"/>
      <c r="T44" s="25">
        <v>5.0229147005402498E-4</v>
      </c>
      <c r="U44" s="25">
        <v>0</v>
      </c>
      <c r="V44" s="25">
        <v>2.5933187262890714E-4</v>
      </c>
      <c r="W44" s="25">
        <v>3.7142334310896692E-4</v>
      </c>
      <c r="X44" s="25">
        <f t="shared" si="0"/>
        <v>2.9106400348604931E-2</v>
      </c>
      <c r="Y44" s="27">
        <f t="shared" si="1"/>
        <v>1.9600269595020154</v>
      </c>
      <c r="Z44" s="25">
        <f t="shared" si="2"/>
        <v>2.7242776847005244E-2</v>
      </c>
      <c r="AA44" s="49">
        <f t="shared" si="3"/>
        <v>2011</v>
      </c>
      <c r="AB44" s="29">
        <f t="shared" si="4"/>
        <v>1.8345304274077605</v>
      </c>
      <c r="AC44" s="23">
        <f t="shared" si="5"/>
        <v>114</v>
      </c>
      <c r="AD44" s="23" t="str">
        <f t="shared" si="6"/>
        <v>No</v>
      </c>
    </row>
    <row r="45" spans="1:30" x14ac:dyDescent="0.3">
      <c r="A45" s="23">
        <v>44</v>
      </c>
      <c r="B45" s="21" t="s">
        <v>89</v>
      </c>
      <c r="C45" s="23" t="s">
        <v>367</v>
      </c>
      <c r="D45" s="23">
        <v>-2</v>
      </c>
      <c r="E45" s="23" t="s">
        <v>44</v>
      </c>
      <c r="F45" s="23" t="s">
        <v>42</v>
      </c>
      <c r="G45" s="25">
        <v>2.7530000000000001</v>
      </c>
      <c r="H45" s="25">
        <v>0</v>
      </c>
      <c r="I45" s="25">
        <v>2.7214916335500296E-2</v>
      </c>
      <c r="J45" s="25">
        <v>0</v>
      </c>
      <c r="K45" s="25">
        <v>0</v>
      </c>
      <c r="L45" s="25">
        <v>0</v>
      </c>
      <c r="M45" s="25"/>
      <c r="N45" s="25">
        <v>0</v>
      </c>
      <c r="O45" s="25">
        <v>0</v>
      </c>
      <c r="P45" s="25">
        <v>5.2542805315344593E-4</v>
      </c>
      <c r="Q45" s="25">
        <v>0</v>
      </c>
      <c r="R45" s="25">
        <v>0</v>
      </c>
      <c r="S45" s="25"/>
      <c r="T45" s="25">
        <v>3.8682016569009284E-4</v>
      </c>
      <c r="U45" s="25">
        <v>2.1460148760082666E-4</v>
      </c>
      <c r="V45" s="25">
        <v>0</v>
      </c>
      <c r="W45" s="25">
        <v>0</v>
      </c>
      <c r="X45" s="25">
        <f t="shared" si="0"/>
        <v>2.834176604194466E-2</v>
      </c>
      <c r="Y45" s="27">
        <f t="shared" si="1"/>
        <v>1.0294865979638452</v>
      </c>
      <c r="Z45" s="25">
        <f t="shared" si="2"/>
        <v>2.7214916335500296E-2</v>
      </c>
      <c r="AA45" s="49">
        <f t="shared" si="3"/>
        <v>2011</v>
      </c>
      <c r="AB45" s="29">
        <f t="shared" si="4"/>
        <v>0.98855489776608407</v>
      </c>
      <c r="AC45" s="23">
        <f t="shared" si="5"/>
        <v>145</v>
      </c>
      <c r="AD45" s="23" t="str">
        <f t="shared" si="6"/>
        <v>No</v>
      </c>
    </row>
    <row r="46" spans="1:30" x14ac:dyDescent="0.3">
      <c r="A46" s="23">
        <v>45</v>
      </c>
      <c r="B46" s="21" t="s">
        <v>90</v>
      </c>
      <c r="C46" s="23" t="s">
        <v>368</v>
      </c>
      <c r="D46" s="23">
        <v>-3</v>
      </c>
      <c r="E46" s="23" t="s">
        <v>41</v>
      </c>
      <c r="F46" s="23" t="s">
        <v>42</v>
      </c>
      <c r="G46" s="25">
        <v>3.0139999999999998</v>
      </c>
      <c r="H46" s="25">
        <v>3.6526572064975883E-3</v>
      </c>
      <c r="I46" s="25">
        <v>1.9702824099954608E-4</v>
      </c>
      <c r="J46" s="25">
        <v>0</v>
      </c>
      <c r="K46" s="25">
        <v>0</v>
      </c>
      <c r="L46" s="25">
        <v>0</v>
      </c>
      <c r="M46" s="25"/>
      <c r="N46" s="25">
        <v>0</v>
      </c>
      <c r="O46" s="25">
        <v>0</v>
      </c>
      <c r="P46" s="25">
        <v>0</v>
      </c>
      <c r="Q46" s="25">
        <v>0</v>
      </c>
      <c r="R46" s="25">
        <v>0</v>
      </c>
      <c r="S46" s="25"/>
      <c r="T46" s="25">
        <v>4.4045014018428991E-3</v>
      </c>
      <c r="U46" s="25">
        <v>8.7577915024827235E-5</v>
      </c>
      <c r="V46" s="25">
        <v>3.0194952909652422E-4</v>
      </c>
      <c r="W46" s="25">
        <v>0</v>
      </c>
      <c r="X46" s="25">
        <f t="shared" si="0"/>
        <v>8.6437142934613839E-3</v>
      </c>
      <c r="Y46" s="27">
        <f t="shared" si="1"/>
        <v>0.28678547755346329</v>
      </c>
      <c r="Z46" s="25">
        <f t="shared" si="2"/>
        <v>4.4045014018428991E-3</v>
      </c>
      <c r="AA46" s="49">
        <f t="shared" si="3"/>
        <v>2022</v>
      </c>
      <c r="AB46" s="29">
        <f t="shared" si="4"/>
        <v>0.14613475122239214</v>
      </c>
      <c r="AC46" s="23">
        <f t="shared" si="5"/>
        <v>193</v>
      </c>
      <c r="AD46" s="23" t="str">
        <f t="shared" si="6"/>
        <v>No</v>
      </c>
    </row>
    <row r="47" spans="1:30" x14ac:dyDescent="0.3">
      <c r="A47" s="23">
        <v>46</v>
      </c>
      <c r="B47" s="21" t="s">
        <v>91</v>
      </c>
      <c r="C47" s="23" t="s">
        <v>369</v>
      </c>
      <c r="D47" s="23">
        <v>-2</v>
      </c>
      <c r="E47" s="23" t="s">
        <v>44</v>
      </c>
      <c r="F47" s="23" t="s">
        <v>42</v>
      </c>
      <c r="G47" s="25">
        <v>1.2569999999999999</v>
      </c>
      <c r="H47" s="25">
        <v>0</v>
      </c>
      <c r="I47" s="25">
        <v>0</v>
      </c>
      <c r="J47" s="25">
        <v>0</v>
      </c>
      <c r="K47" s="25">
        <v>0</v>
      </c>
      <c r="L47" s="25">
        <v>0</v>
      </c>
      <c r="M47" s="25"/>
      <c r="N47" s="25">
        <v>0</v>
      </c>
      <c r="O47" s="25">
        <v>0</v>
      </c>
      <c r="P47" s="25">
        <v>2.5773806153199985E-4</v>
      </c>
      <c r="Q47" s="25">
        <v>0</v>
      </c>
      <c r="R47" s="25">
        <v>0</v>
      </c>
      <c r="S47" s="25"/>
      <c r="T47" s="25">
        <v>2.6341415050748035E-4</v>
      </c>
      <c r="U47" s="25">
        <v>9.2988800009363332E-5</v>
      </c>
      <c r="V47" s="25">
        <v>2.434549001226842E-4</v>
      </c>
      <c r="W47" s="25">
        <v>3.9927609815344255E-3</v>
      </c>
      <c r="X47" s="25">
        <f t="shared" si="0"/>
        <v>4.8503568937059531E-3</v>
      </c>
      <c r="Y47" s="27">
        <f t="shared" si="1"/>
        <v>0.38586769241893026</v>
      </c>
      <c r="Z47" s="25">
        <f t="shared" si="2"/>
        <v>3.9927609815344255E-3</v>
      </c>
      <c r="AA47" s="49">
        <f t="shared" si="3"/>
        <v>2025</v>
      </c>
      <c r="AB47" s="29">
        <f t="shared" si="4"/>
        <v>0.31764208285874507</v>
      </c>
      <c r="AC47" s="23">
        <f t="shared" si="5"/>
        <v>176</v>
      </c>
      <c r="AD47" s="23" t="str">
        <f t="shared" si="6"/>
        <v>No</v>
      </c>
    </row>
    <row r="48" spans="1:30" x14ac:dyDescent="0.3">
      <c r="A48" s="23">
        <v>47</v>
      </c>
      <c r="B48" s="21" t="s">
        <v>92</v>
      </c>
      <c r="C48" s="23" t="s">
        <v>370</v>
      </c>
      <c r="D48" s="23">
        <v>-2</v>
      </c>
      <c r="E48" s="23" t="s">
        <v>44</v>
      </c>
      <c r="F48" s="23" t="s">
        <v>42</v>
      </c>
      <c r="G48" s="25">
        <v>1.8660000000000001</v>
      </c>
      <c r="H48" s="25">
        <v>1.199939999499364E-3</v>
      </c>
      <c r="I48" s="25">
        <v>0</v>
      </c>
      <c r="J48" s="25">
        <v>0</v>
      </c>
      <c r="K48" s="25">
        <v>0</v>
      </c>
      <c r="L48" s="25">
        <v>0</v>
      </c>
      <c r="M48" s="25"/>
      <c r="N48" s="25">
        <v>0</v>
      </c>
      <c r="O48" s="25">
        <v>0</v>
      </c>
      <c r="P48" s="25">
        <v>0</v>
      </c>
      <c r="Q48" s="25">
        <v>0</v>
      </c>
      <c r="R48" s="25">
        <v>0</v>
      </c>
      <c r="S48" s="25"/>
      <c r="T48" s="25">
        <v>2.6716475862479999E-4</v>
      </c>
      <c r="U48" s="25">
        <v>0</v>
      </c>
      <c r="V48" s="25">
        <v>0</v>
      </c>
      <c r="W48" s="25">
        <v>4.6476108818798096E-4</v>
      </c>
      <c r="X48" s="25">
        <f t="shared" si="0"/>
        <v>1.931865846312145E-3</v>
      </c>
      <c r="Y48" s="27">
        <f t="shared" si="1"/>
        <v>0.10352978811962192</v>
      </c>
      <c r="Z48" s="25">
        <f t="shared" si="2"/>
        <v>1.199939999499364E-3</v>
      </c>
      <c r="AA48" s="49">
        <f t="shared" si="3"/>
        <v>2010</v>
      </c>
      <c r="AB48" s="29">
        <f t="shared" si="4"/>
        <v>6.4305466211112758E-2</v>
      </c>
      <c r="AC48" s="23">
        <f t="shared" si="5"/>
        <v>210</v>
      </c>
      <c r="AD48" s="23" t="str">
        <f t="shared" si="6"/>
        <v>No</v>
      </c>
    </row>
    <row r="49" spans="1:30" x14ac:dyDescent="0.3">
      <c r="A49" s="23">
        <v>48</v>
      </c>
      <c r="B49" s="21" t="s">
        <v>93</v>
      </c>
      <c r="C49" s="23" t="s">
        <v>371</v>
      </c>
      <c r="D49" s="23">
        <v>-2</v>
      </c>
      <c r="E49" s="23" t="s">
        <v>44</v>
      </c>
      <c r="F49" s="23" t="s">
        <v>42</v>
      </c>
      <c r="G49" s="25">
        <v>1.5529999999999999</v>
      </c>
      <c r="H49" s="25">
        <v>0</v>
      </c>
      <c r="I49" s="25">
        <v>2.8194437840996137E-2</v>
      </c>
      <c r="J49" s="25">
        <v>0</v>
      </c>
      <c r="K49" s="25">
        <v>0</v>
      </c>
      <c r="L49" s="25">
        <v>0</v>
      </c>
      <c r="M49" s="25"/>
      <c r="N49" s="25">
        <v>0</v>
      </c>
      <c r="O49" s="25">
        <v>0</v>
      </c>
      <c r="P49" s="25">
        <v>0</v>
      </c>
      <c r="Q49" s="25">
        <v>0</v>
      </c>
      <c r="R49" s="25">
        <v>0</v>
      </c>
      <c r="S49" s="25"/>
      <c r="T49" s="25">
        <v>3.365735974439699E-4</v>
      </c>
      <c r="U49" s="25">
        <v>2.4119886360527017E-4</v>
      </c>
      <c r="V49" s="25">
        <v>2.219233831116726E-4</v>
      </c>
      <c r="W49" s="25">
        <v>0</v>
      </c>
      <c r="X49" s="25">
        <f t="shared" si="0"/>
        <v>2.8994133685157047E-2</v>
      </c>
      <c r="Y49" s="27">
        <f t="shared" si="1"/>
        <v>1.8669757685226691</v>
      </c>
      <c r="Z49" s="25">
        <f t="shared" si="2"/>
        <v>2.8194437840996137E-2</v>
      </c>
      <c r="AA49" s="49">
        <f t="shared" si="3"/>
        <v>2011</v>
      </c>
      <c r="AB49" s="29">
        <f t="shared" si="4"/>
        <v>1.8154821533159136</v>
      </c>
      <c r="AC49" s="23">
        <f t="shared" si="5"/>
        <v>115</v>
      </c>
      <c r="AD49" s="23" t="str">
        <f t="shared" si="6"/>
        <v>No</v>
      </c>
    </row>
    <row r="50" spans="1:30" x14ac:dyDescent="0.3">
      <c r="A50" s="23">
        <v>49</v>
      </c>
      <c r="B50" s="21" t="s">
        <v>94</v>
      </c>
      <c r="C50" s="23" t="s">
        <v>372</v>
      </c>
      <c r="D50" s="23">
        <v>-3</v>
      </c>
      <c r="E50" s="23" t="s">
        <v>41</v>
      </c>
      <c r="F50" s="23" t="s">
        <v>42</v>
      </c>
      <c r="G50" s="25">
        <v>2.0369999999999999</v>
      </c>
      <c r="H50" s="25">
        <v>3.681704026358566E-3</v>
      </c>
      <c r="I50" s="25">
        <v>3.5546581150003228E-4</v>
      </c>
      <c r="J50" s="25">
        <v>0</v>
      </c>
      <c r="K50" s="25">
        <v>0</v>
      </c>
      <c r="L50" s="25">
        <v>0</v>
      </c>
      <c r="M50" s="25"/>
      <c r="N50" s="25">
        <v>0</v>
      </c>
      <c r="O50" s="25">
        <v>0</v>
      </c>
      <c r="P50" s="25">
        <v>0</v>
      </c>
      <c r="Q50" s="25">
        <v>0</v>
      </c>
      <c r="R50" s="25">
        <v>0</v>
      </c>
      <c r="S50" s="25"/>
      <c r="T50" s="25">
        <v>1.5664138317899778E-3</v>
      </c>
      <c r="U50" s="25">
        <v>0</v>
      </c>
      <c r="V50" s="25">
        <v>0</v>
      </c>
      <c r="W50" s="25">
        <v>0</v>
      </c>
      <c r="X50" s="25">
        <f t="shared" si="0"/>
        <v>5.6035836696485767E-3</v>
      </c>
      <c r="Y50" s="27">
        <f t="shared" si="1"/>
        <v>0.27509001814671463</v>
      </c>
      <c r="Z50" s="25">
        <f t="shared" si="2"/>
        <v>3.681704026358566E-3</v>
      </c>
      <c r="AA50" s="49">
        <f t="shared" si="3"/>
        <v>2010</v>
      </c>
      <c r="AB50" s="29">
        <f t="shared" si="4"/>
        <v>0.1807414838663999</v>
      </c>
      <c r="AC50" s="23">
        <f t="shared" si="5"/>
        <v>188</v>
      </c>
      <c r="AD50" s="23" t="str">
        <f t="shared" si="6"/>
        <v>No</v>
      </c>
    </row>
    <row r="51" spans="1:30" x14ac:dyDescent="0.3">
      <c r="A51" s="23">
        <v>50</v>
      </c>
      <c r="B51" s="21" t="s">
        <v>95</v>
      </c>
      <c r="C51" s="23" t="s">
        <v>373</v>
      </c>
      <c r="D51" s="23">
        <v>-2</v>
      </c>
      <c r="E51" s="23" t="s">
        <v>44</v>
      </c>
      <c r="F51" s="23" t="s">
        <v>42</v>
      </c>
      <c r="G51" s="25">
        <v>0.81699999999999995</v>
      </c>
      <c r="H51" s="25">
        <v>7.0308954021801415E-2</v>
      </c>
      <c r="I51" s="25">
        <v>0</v>
      </c>
      <c r="J51" s="25">
        <v>0</v>
      </c>
      <c r="K51" s="25">
        <v>0</v>
      </c>
      <c r="L51" s="25">
        <v>0</v>
      </c>
      <c r="M51" s="25"/>
      <c r="N51" s="25">
        <v>0</v>
      </c>
      <c r="O51" s="25">
        <v>0</v>
      </c>
      <c r="P51" s="25">
        <v>1.2120686821427079E-3</v>
      </c>
      <c r="Q51" s="25">
        <v>0</v>
      </c>
      <c r="R51" s="25">
        <v>0</v>
      </c>
      <c r="S51" s="25"/>
      <c r="T51" s="25">
        <v>1.0022574355877235E-3</v>
      </c>
      <c r="U51" s="25">
        <v>0</v>
      </c>
      <c r="V51" s="25">
        <v>1.8721495005139151E-4</v>
      </c>
      <c r="W51" s="25">
        <v>3.7962145557328551E-3</v>
      </c>
      <c r="X51" s="25">
        <f t="shared" si="0"/>
        <v>7.6506709645316098E-2</v>
      </c>
      <c r="Y51" s="27">
        <f t="shared" si="1"/>
        <v>9.3643463458159246</v>
      </c>
      <c r="Z51" s="25">
        <f t="shared" si="2"/>
        <v>7.0308954021801415E-2</v>
      </c>
      <c r="AA51" s="49">
        <f t="shared" si="3"/>
        <v>2010</v>
      </c>
      <c r="AB51" s="29">
        <f t="shared" si="4"/>
        <v>8.6057471262914831</v>
      </c>
      <c r="AC51" s="23">
        <f t="shared" si="5"/>
        <v>35</v>
      </c>
      <c r="AD51" s="23" t="str">
        <f t="shared" si="6"/>
        <v>No</v>
      </c>
    </row>
    <row r="52" spans="1:30" x14ac:dyDescent="0.3">
      <c r="A52" s="23">
        <v>51</v>
      </c>
      <c r="B52" s="21" t="s">
        <v>96</v>
      </c>
      <c r="C52" s="23" t="s">
        <v>374</v>
      </c>
      <c r="D52" s="23">
        <v>-2</v>
      </c>
      <c r="E52" s="23" t="s">
        <v>44</v>
      </c>
      <c r="F52" s="23" t="s">
        <v>42</v>
      </c>
      <c r="G52" s="25">
        <v>1.51</v>
      </c>
      <c r="H52" s="25">
        <v>0</v>
      </c>
      <c r="I52" s="25">
        <v>0</v>
      </c>
      <c r="J52" s="25">
        <v>0</v>
      </c>
      <c r="K52" s="25">
        <v>0</v>
      </c>
      <c r="L52" s="25">
        <v>0</v>
      </c>
      <c r="M52" s="25"/>
      <c r="N52" s="25">
        <v>0</v>
      </c>
      <c r="O52" s="25">
        <v>0</v>
      </c>
      <c r="P52" s="25">
        <v>7.1070628022425807E-5</v>
      </c>
      <c r="Q52" s="25">
        <v>0</v>
      </c>
      <c r="R52" s="25">
        <v>0</v>
      </c>
      <c r="S52" s="25"/>
      <c r="T52" s="25">
        <v>2.6615056093565274E-4</v>
      </c>
      <c r="U52" s="25">
        <v>1.1685217101161834E-4</v>
      </c>
      <c r="V52" s="25">
        <v>2.2939930551292491E-4</v>
      </c>
      <c r="W52" s="25">
        <v>1.3239362266000419E-2</v>
      </c>
      <c r="X52" s="25">
        <f t="shared" si="0"/>
        <v>1.392283493148304E-2</v>
      </c>
      <c r="Y52" s="27">
        <f t="shared" si="1"/>
        <v>0.9220420484425853</v>
      </c>
      <c r="Z52" s="25">
        <f t="shared" si="2"/>
        <v>1.3239362266000419E-2</v>
      </c>
      <c r="AA52" s="49">
        <f t="shared" si="3"/>
        <v>2025</v>
      </c>
      <c r="AB52" s="29">
        <f t="shared" si="4"/>
        <v>0.87677895801327277</v>
      </c>
      <c r="AC52" s="23">
        <f t="shared" si="5"/>
        <v>152</v>
      </c>
      <c r="AD52" s="23" t="str">
        <f t="shared" si="6"/>
        <v>No</v>
      </c>
    </row>
    <row r="53" spans="1:30" x14ac:dyDescent="0.3">
      <c r="A53" s="23">
        <v>52</v>
      </c>
      <c r="B53" s="21" t="s">
        <v>97</v>
      </c>
      <c r="C53" s="23" t="s">
        <v>375</v>
      </c>
      <c r="D53" s="23">
        <v>-3</v>
      </c>
      <c r="E53" s="23" t="s">
        <v>41</v>
      </c>
      <c r="F53" s="23" t="s">
        <v>42</v>
      </c>
      <c r="G53" s="25">
        <v>3.31</v>
      </c>
      <c r="H53" s="25">
        <v>0</v>
      </c>
      <c r="I53" s="25">
        <v>0</v>
      </c>
      <c r="J53" s="25">
        <v>0</v>
      </c>
      <c r="K53" s="25">
        <v>0</v>
      </c>
      <c r="L53" s="25">
        <v>0</v>
      </c>
      <c r="M53" s="25"/>
      <c r="N53" s="25">
        <v>0</v>
      </c>
      <c r="O53" s="25">
        <v>0</v>
      </c>
      <c r="P53" s="25">
        <v>1.082703795288282E-3</v>
      </c>
      <c r="Q53" s="25">
        <v>0</v>
      </c>
      <c r="R53" s="25">
        <v>0</v>
      </c>
      <c r="S53" s="25"/>
      <c r="T53" s="25">
        <v>0</v>
      </c>
      <c r="U53" s="25">
        <v>0</v>
      </c>
      <c r="V53" s="25">
        <v>0</v>
      </c>
      <c r="W53" s="25">
        <v>3.8576292971106887E-4</v>
      </c>
      <c r="X53" s="25">
        <f t="shared" si="0"/>
        <v>1.4684667249993508E-3</v>
      </c>
      <c r="Y53" s="27">
        <f t="shared" si="1"/>
        <v>4.436455362535803E-2</v>
      </c>
      <c r="Z53" s="25">
        <f t="shared" si="2"/>
        <v>1.082703795288282E-3</v>
      </c>
      <c r="AA53" s="49">
        <f t="shared" si="3"/>
        <v>2018</v>
      </c>
      <c r="AB53" s="29">
        <f t="shared" si="4"/>
        <v>3.271008444979704E-2</v>
      </c>
      <c r="AC53" s="23">
        <f t="shared" si="5"/>
        <v>216</v>
      </c>
      <c r="AD53" s="23" t="str">
        <f t="shared" si="6"/>
        <v>No</v>
      </c>
    </row>
    <row r="54" spans="1:30" x14ac:dyDescent="0.3">
      <c r="A54" s="23">
        <v>53</v>
      </c>
      <c r="B54" s="21" t="s">
        <v>98</v>
      </c>
      <c r="C54" s="23" t="s">
        <v>376</v>
      </c>
      <c r="D54" s="23">
        <v>-2</v>
      </c>
      <c r="E54" s="23" t="s">
        <v>44</v>
      </c>
      <c r="F54" s="23" t="s">
        <v>42</v>
      </c>
      <c r="G54" s="25">
        <v>5.4349999999999996</v>
      </c>
      <c r="H54" s="25">
        <v>0.25716922833347655</v>
      </c>
      <c r="I54" s="25">
        <v>2.029037969849538E-2</v>
      </c>
      <c r="J54" s="25">
        <v>0</v>
      </c>
      <c r="K54" s="25">
        <v>0</v>
      </c>
      <c r="L54" s="25">
        <v>0</v>
      </c>
      <c r="M54" s="25"/>
      <c r="N54" s="25">
        <v>0</v>
      </c>
      <c r="O54" s="25">
        <v>0</v>
      </c>
      <c r="P54" s="25">
        <v>0</v>
      </c>
      <c r="Q54" s="25">
        <v>0</v>
      </c>
      <c r="R54" s="25">
        <v>6.5227841960673684E-5</v>
      </c>
      <c r="S54" s="25"/>
      <c r="T54" s="25">
        <v>1.9379156509507448E-4</v>
      </c>
      <c r="U54" s="25">
        <v>0</v>
      </c>
      <c r="V54" s="25">
        <v>0</v>
      </c>
      <c r="W54" s="25">
        <v>2.1127394905416804E-4</v>
      </c>
      <c r="X54" s="25">
        <f t="shared" si="0"/>
        <v>0.27792990138808188</v>
      </c>
      <c r="Y54" s="27">
        <f t="shared" si="1"/>
        <v>5.1137056373152143</v>
      </c>
      <c r="Z54" s="25">
        <f t="shared" si="2"/>
        <v>0.25716922833347655</v>
      </c>
      <c r="AA54" s="49">
        <f t="shared" si="3"/>
        <v>2010</v>
      </c>
      <c r="AB54" s="29">
        <f t="shared" si="4"/>
        <v>4.7317245323546748</v>
      </c>
      <c r="AC54" s="23">
        <f t="shared" si="5"/>
        <v>57</v>
      </c>
      <c r="AD54" s="23" t="str">
        <f t="shared" si="6"/>
        <v>No</v>
      </c>
    </row>
    <row r="55" spans="1:30" x14ac:dyDescent="0.3">
      <c r="A55" s="23">
        <v>54</v>
      </c>
      <c r="B55" s="21" t="s">
        <v>99</v>
      </c>
      <c r="C55" s="23" t="s">
        <v>377</v>
      </c>
      <c r="D55" s="23">
        <v>-3</v>
      </c>
      <c r="E55" s="23" t="s">
        <v>41</v>
      </c>
      <c r="F55" s="23" t="s">
        <v>42</v>
      </c>
      <c r="G55" s="25">
        <v>3.5049999999999999</v>
      </c>
      <c r="H55" s="25">
        <v>0</v>
      </c>
      <c r="I55" s="25">
        <v>7.0417076339973133E-3</v>
      </c>
      <c r="J55" s="25">
        <v>0</v>
      </c>
      <c r="K55" s="25">
        <v>1.627023017941974E-5</v>
      </c>
      <c r="L55" s="25">
        <v>0</v>
      </c>
      <c r="M55" s="25"/>
      <c r="N55" s="25">
        <v>0</v>
      </c>
      <c r="O55" s="25">
        <v>0</v>
      </c>
      <c r="P55" s="25">
        <v>0</v>
      </c>
      <c r="Q55" s="25">
        <v>0</v>
      </c>
      <c r="R55" s="25">
        <v>3.3512303534010427E-4</v>
      </c>
      <c r="S55" s="25"/>
      <c r="T55" s="25">
        <v>2.3965969905341417E-3</v>
      </c>
      <c r="U55" s="25">
        <v>0</v>
      </c>
      <c r="V55" s="25">
        <v>0</v>
      </c>
      <c r="W55" s="25">
        <v>0</v>
      </c>
      <c r="X55" s="25">
        <f t="shared" si="0"/>
        <v>9.7896978900509791E-3</v>
      </c>
      <c r="Y55" s="27">
        <f t="shared" si="1"/>
        <v>0.27930664450930037</v>
      </c>
      <c r="Z55" s="25">
        <f t="shared" si="2"/>
        <v>7.0417076339973133E-3</v>
      </c>
      <c r="AA55" s="49">
        <f t="shared" si="3"/>
        <v>2011</v>
      </c>
      <c r="AB55" s="29">
        <f t="shared" si="4"/>
        <v>0.20090464005698469</v>
      </c>
      <c r="AC55" s="23">
        <f t="shared" si="5"/>
        <v>184</v>
      </c>
      <c r="AD55" s="23" t="str">
        <f t="shared" si="6"/>
        <v>No</v>
      </c>
    </row>
    <row r="56" spans="1:30" x14ac:dyDescent="0.3">
      <c r="A56" s="23">
        <v>55</v>
      </c>
      <c r="B56" s="21" t="s">
        <v>100</v>
      </c>
      <c r="C56" s="23" t="s">
        <v>378</v>
      </c>
      <c r="D56" s="23">
        <v>-2</v>
      </c>
      <c r="E56" s="23" t="s">
        <v>44</v>
      </c>
      <c r="F56" s="23" t="s">
        <v>42</v>
      </c>
      <c r="G56" s="25">
        <v>1.3</v>
      </c>
      <c r="H56" s="25">
        <v>2.7056017139995472E-2</v>
      </c>
      <c r="I56" s="25">
        <v>3.2843274160490127E-2</v>
      </c>
      <c r="J56" s="25">
        <v>0</v>
      </c>
      <c r="K56" s="25">
        <v>0</v>
      </c>
      <c r="L56" s="25">
        <v>0</v>
      </c>
      <c r="M56" s="25"/>
      <c r="N56" s="25">
        <v>0</v>
      </c>
      <c r="O56" s="25">
        <v>0</v>
      </c>
      <c r="P56" s="25">
        <v>0</v>
      </c>
      <c r="Q56" s="25">
        <v>0</v>
      </c>
      <c r="R56" s="25">
        <v>0</v>
      </c>
      <c r="S56" s="25"/>
      <c r="T56" s="25">
        <v>0</v>
      </c>
      <c r="U56" s="25">
        <v>0</v>
      </c>
      <c r="V56" s="25">
        <v>1.9851054759707768E-4</v>
      </c>
      <c r="W56" s="25">
        <v>0</v>
      </c>
      <c r="X56" s="25">
        <f t="shared" si="0"/>
        <v>6.009780184808268E-2</v>
      </c>
      <c r="Y56" s="27">
        <f t="shared" si="1"/>
        <v>4.622907834467898</v>
      </c>
      <c r="Z56" s="25">
        <f t="shared" si="2"/>
        <v>3.2843274160490127E-2</v>
      </c>
      <c r="AA56" s="49">
        <f t="shared" si="3"/>
        <v>2011</v>
      </c>
      <c r="AB56" s="29">
        <f t="shared" si="4"/>
        <v>2.5264057046530866</v>
      </c>
      <c r="AC56" s="23">
        <f t="shared" si="5"/>
        <v>99</v>
      </c>
      <c r="AD56" s="23" t="str">
        <f t="shared" si="6"/>
        <v>No</v>
      </c>
    </row>
    <row r="57" spans="1:30" x14ac:dyDescent="0.3">
      <c r="A57" s="23">
        <v>56</v>
      </c>
      <c r="B57" s="21" t="s">
        <v>101</v>
      </c>
      <c r="C57" s="23" t="s">
        <v>379</v>
      </c>
      <c r="D57" s="23">
        <v>-3</v>
      </c>
      <c r="E57" s="23" t="s">
        <v>41</v>
      </c>
      <c r="F57" s="23" t="s">
        <v>42</v>
      </c>
      <c r="G57" s="25">
        <v>1.367</v>
      </c>
      <c r="H57" s="25">
        <v>2.4389722486907569E-2</v>
      </c>
      <c r="I57" s="25">
        <v>0</v>
      </c>
      <c r="J57" s="25">
        <v>0</v>
      </c>
      <c r="K57" s="25">
        <v>0</v>
      </c>
      <c r="L57" s="25">
        <v>0</v>
      </c>
      <c r="M57" s="25"/>
      <c r="N57" s="25">
        <v>0</v>
      </c>
      <c r="O57" s="25">
        <v>0</v>
      </c>
      <c r="P57" s="25">
        <v>3.0524688632417273E-3</v>
      </c>
      <c r="Q57" s="25">
        <v>0</v>
      </c>
      <c r="R57" s="25">
        <v>0</v>
      </c>
      <c r="S57" s="25"/>
      <c r="T57" s="25">
        <v>1.2957751807011664E-4</v>
      </c>
      <c r="U57" s="25">
        <v>0</v>
      </c>
      <c r="V57" s="25">
        <v>1.539907000081148E-4</v>
      </c>
      <c r="W57" s="25">
        <v>9.5048546972438721E-3</v>
      </c>
      <c r="X57" s="25">
        <f t="shared" si="0"/>
        <v>3.7230614265471397E-2</v>
      </c>
      <c r="Y57" s="27">
        <f t="shared" si="1"/>
        <v>2.7235270128362394</v>
      </c>
      <c r="Z57" s="25">
        <f t="shared" si="2"/>
        <v>2.4389722486907569E-2</v>
      </c>
      <c r="AA57" s="49">
        <f t="shared" si="3"/>
        <v>2010</v>
      </c>
      <c r="AB57" s="29">
        <f t="shared" si="4"/>
        <v>1.78417867497495</v>
      </c>
      <c r="AC57" s="23">
        <f t="shared" si="5"/>
        <v>117</v>
      </c>
      <c r="AD57" s="23" t="str">
        <f t="shared" si="6"/>
        <v>No</v>
      </c>
    </row>
    <row r="58" spans="1:30" x14ac:dyDescent="0.3">
      <c r="A58" s="23">
        <v>57</v>
      </c>
      <c r="B58" s="21" t="s">
        <v>102</v>
      </c>
      <c r="C58" s="23" t="s">
        <v>380</v>
      </c>
      <c r="D58" s="23">
        <v>-3</v>
      </c>
      <c r="E58" s="23" t="s">
        <v>41</v>
      </c>
      <c r="F58" s="23" t="s">
        <v>42</v>
      </c>
      <c r="G58" s="25">
        <v>8.1069999999999993</v>
      </c>
      <c r="H58" s="25">
        <v>4.2147948541024233E-3</v>
      </c>
      <c r="I58" s="25">
        <v>7.3854579500039102E-5</v>
      </c>
      <c r="J58" s="25">
        <v>0</v>
      </c>
      <c r="K58" s="25">
        <v>0</v>
      </c>
      <c r="L58" s="25">
        <v>0</v>
      </c>
      <c r="M58" s="25"/>
      <c r="N58" s="25">
        <v>0</v>
      </c>
      <c r="O58" s="25">
        <v>0</v>
      </c>
      <c r="P58" s="25">
        <v>0</v>
      </c>
      <c r="Q58" s="25">
        <v>0</v>
      </c>
      <c r="R58" s="25">
        <v>0</v>
      </c>
      <c r="S58" s="25"/>
      <c r="T58" s="25">
        <v>0</v>
      </c>
      <c r="U58" s="25">
        <v>0</v>
      </c>
      <c r="V58" s="25">
        <v>0</v>
      </c>
      <c r="W58" s="25">
        <v>8.2433934544108339E-4</v>
      </c>
      <c r="X58" s="25">
        <f t="shared" si="0"/>
        <v>5.1129887790435456E-3</v>
      </c>
      <c r="Y58" s="27">
        <f t="shared" si="1"/>
        <v>6.3068814346164376E-2</v>
      </c>
      <c r="Z58" s="25">
        <f t="shared" si="2"/>
        <v>4.2147948541024233E-3</v>
      </c>
      <c r="AA58" s="49">
        <f t="shared" si="3"/>
        <v>2010</v>
      </c>
      <c r="AB58" s="29">
        <f t="shared" si="4"/>
        <v>5.1989575109194809E-2</v>
      </c>
      <c r="AC58" s="23">
        <f t="shared" si="5"/>
        <v>213</v>
      </c>
      <c r="AD58" s="23" t="str">
        <f t="shared" si="6"/>
        <v>No</v>
      </c>
    </row>
    <row r="59" spans="1:30" x14ac:dyDescent="0.3">
      <c r="A59" s="23">
        <v>58</v>
      </c>
      <c r="B59" s="21" t="s">
        <v>103</v>
      </c>
      <c r="C59" s="23" t="s">
        <v>381</v>
      </c>
      <c r="D59" s="23">
        <v>-2</v>
      </c>
      <c r="E59" s="23" t="s">
        <v>44</v>
      </c>
      <c r="F59" s="23" t="s">
        <v>42</v>
      </c>
      <c r="G59" s="25">
        <v>1.3320000000000001</v>
      </c>
      <c r="H59" s="25">
        <v>0.11247941894616187</v>
      </c>
      <c r="I59" s="25">
        <v>0</v>
      </c>
      <c r="J59" s="25">
        <v>0</v>
      </c>
      <c r="K59" s="25">
        <v>0</v>
      </c>
      <c r="L59" s="25">
        <v>0</v>
      </c>
      <c r="M59" s="25"/>
      <c r="N59" s="25">
        <v>0</v>
      </c>
      <c r="O59" s="25">
        <v>0</v>
      </c>
      <c r="P59" s="25">
        <v>2.1454483083819129E-2</v>
      </c>
      <c r="Q59" s="25">
        <v>0</v>
      </c>
      <c r="R59" s="25">
        <v>0</v>
      </c>
      <c r="S59" s="25"/>
      <c r="T59" s="25">
        <v>1.8961111380620243E-3</v>
      </c>
      <c r="U59" s="25">
        <v>0</v>
      </c>
      <c r="V59" s="25">
        <v>0</v>
      </c>
      <c r="W59" s="25">
        <v>3.2766874607945667E-2</v>
      </c>
      <c r="X59" s="25">
        <f t="shared" si="0"/>
        <v>0.16859688777598869</v>
      </c>
      <c r="Y59" s="27">
        <f t="shared" si="1"/>
        <v>12.657424007206359</v>
      </c>
      <c r="Z59" s="25">
        <f t="shared" si="2"/>
        <v>0.11247941894616187</v>
      </c>
      <c r="AA59" s="49">
        <f t="shared" si="3"/>
        <v>2010</v>
      </c>
      <c r="AB59" s="29">
        <f t="shared" si="4"/>
        <v>8.4444008217839226</v>
      </c>
      <c r="AC59" s="23">
        <f t="shared" si="5"/>
        <v>36</v>
      </c>
      <c r="AD59" s="23" t="str">
        <f t="shared" si="6"/>
        <v>No</v>
      </c>
    </row>
    <row r="60" spans="1:30" x14ac:dyDescent="0.3">
      <c r="A60" s="23">
        <v>59</v>
      </c>
      <c r="B60" s="21" t="s">
        <v>104</v>
      </c>
      <c r="C60" s="23" t="s">
        <v>382</v>
      </c>
      <c r="D60" s="23">
        <v>-2</v>
      </c>
      <c r="E60" s="23" t="s">
        <v>44</v>
      </c>
      <c r="F60" s="23" t="s">
        <v>42</v>
      </c>
      <c r="G60" s="25">
        <v>1.3280000000000001</v>
      </c>
      <c r="H60" s="25">
        <v>0</v>
      </c>
      <c r="I60" s="25">
        <v>1.9214239614990074E-3</v>
      </c>
      <c r="J60" s="25">
        <v>0</v>
      </c>
      <c r="K60" s="25">
        <v>0</v>
      </c>
      <c r="L60" s="25">
        <v>0</v>
      </c>
      <c r="M60" s="25"/>
      <c r="N60" s="25">
        <v>0</v>
      </c>
      <c r="O60" s="25">
        <v>0</v>
      </c>
      <c r="P60" s="25">
        <v>0</v>
      </c>
      <c r="Q60" s="25">
        <v>0</v>
      </c>
      <c r="R60" s="25">
        <v>0</v>
      </c>
      <c r="S60" s="25"/>
      <c r="T60" s="25">
        <v>1.5634276315217794E-3</v>
      </c>
      <c r="U60" s="25">
        <v>0</v>
      </c>
      <c r="V60" s="25">
        <v>0</v>
      </c>
      <c r="W60" s="25">
        <v>0</v>
      </c>
      <c r="X60" s="25">
        <f t="shared" si="0"/>
        <v>3.4848515930207867E-3</v>
      </c>
      <c r="Y60" s="27">
        <f t="shared" si="1"/>
        <v>0.26241352357084236</v>
      </c>
      <c r="Z60" s="25">
        <f t="shared" si="2"/>
        <v>1.9214239614990074E-3</v>
      </c>
      <c r="AA60" s="49">
        <f t="shared" si="3"/>
        <v>2011</v>
      </c>
      <c r="AB60" s="29">
        <f t="shared" si="4"/>
        <v>0.14468553926950356</v>
      </c>
      <c r="AC60" s="23">
        <f t="shared" si="5"/>
        <v>194</v>
      </c>
      <c r="AD60" s="23" t="str">
        <f t="shared" si="6"/>
        <v>No</v>
      </c>
    </row>
    <row r="61" spans="1:30" x14ac:dyDescent="0.3">
      <c r="A61" s="23">
        <v>60</v>
      </c>
      <c r="B61" s="21" t="s">
        <v>105</v>
      </c>
      <c r="C61" s="23" t="s">
        <v>383</v>
      </c>
      <c r="D61" s="23">
        <v>-2</v>
      </c>
      <c r="E61" s="23" t="s">
        <v>44</v>
      </c>
      <c r="F61" s="23" t="s">
        <v>42</v>
      </c>
      <c r="G61" s="25">
        <v>1.931</v>
      </c>
      <c r="H61" s="25">
        <v>7.7958690242994578E-3</v>
      </c>
      <c r="I61" s="25">
        <v>4.7472700449838591E-4</v>
      </c>
      <c r="J61" s="25">
        <v>0</v>
      </c>
      <c r="K61" s="25">
        <v>0</v>
      </c>
      <c r="L61" s="25">
        <v>0</v>
      </c>
      <c r="M61" s="25"/>
      <c r="N61" s="25">
        <v>0</v>
      </c>
      <c r="O61" s="25">
        <v>0</v>
      </c>
      <c r="P61" s="25">
        <v>0</v>
      </c>
      <c r="Q61" s="25">
        <v>0</v>
      </c>
      <c r="R61" s="25">
        <v>0</v>
      </c>
      <c r="S61" s="25"/>
      <c r="T61" s="25">
        <v>4.4987628580443561E-4</v>
      </c>
      <c r="U61" s="25">
        <v>0</v>
      </c>
      <c r="V61" s="25">
        <v>0</v>
      </c>
      <c r="W61" s="25">
        <v>0</v>
      </c>
      <c r="X61" s="25">
        <f t="shared" si="0"/>
        <v>8.7204723146022799E-3</v>
      </c>
      <c r="Y61" s="27">
        <f t="shared" si="1"/>
        <v>0.45160395207676229</v>
      </c>
      <c r="Z61" s="25">
        <f t="shared" si="2"/>
        <v>7.7958690242994578E-3</v>
      </c>
      <c r="AA61" s="49">
        <f t="shared" si="3"/>
        <v>2010</v>
      </c>
      <c r="AB61" s="29">
        <f t="shared" si="4"/>
        <v>0.4037218552200651</v>
      </c>
      <c r="AC61" s="23">
        <f t="shared" si="5"/>
        <v>172</v>
      </c>
      <c r="AD61" s="23" t="str">
        <f t="shared" si="6"/>
        <v>No</v>
      </c>
    </row>
    <row r="62" spans="1:30" x14ac:dyDescent="0.3">
      <c r="A62" s="23">
        <v>61</v>
      </c>
      <c r="B62" s="21" t="s">
        <v>106</v>
      </c>
      <c r="C62" s="23" t="s">
        <v>384</v>
      </c>
      <c r="D62" s="23">
        <v>-2</v>
      </c>
      <c r="E62" s="23" t="s">
        <v>44</v>
      </c>
      <c r="F62" s="23" t="s">
        <v>42</v>
      </c>
      <c r="G62" s="25">
        <v>2.3149999999999999</v>
      </c>
      <c r="H62" s="25">
        <v>4.1912983445043697E-2</v>
      </c>
      <c r="I62" s="25">
        <v>4.5319701090573657E-2</v>
      </c>
      <c r="J62" s="25">
        <v>0</v>
      </c>
      <c r="K62" s="25">
        <v>0</v>
      </c>
      <c r="L62" s="25">
        <v>0</v>
      </c>
      <c r="M62" s="25"/>
      <c r="N62" s="25">
        <v>0</v>
      </c>
      <c r="O62" s="25">
        <v>0</v>
      </c>
      <c r="P62" s="25">
        <v>0</v>
      </c>
      <c r="Q62" s="25">
        <v>0</v>
      </c>
      <c r="R62" s="25">
        <v>5.2391549494612261E-5</v>
      </c>
      <c r="S62" s="25"/>
      <c r="T62" s="25">
        <v>2.8187501923006769E-4</v>
      </c>
      <c r="U62" s="25">
        <v>1.6168059791622799E-3</v>
      </c>
      <c r="V62" s="25">
        <v>1.6081868053016951E-3</v>
      </c>
      <c r="W62" s="25">
        <v>0</v>
      </c>
      <c r="X62" s="25">
        <f t="shared" si="0"/>
        <v>9.0791943888806015E-2</v>
      </c>
      <c r="Y62" s="27">
        <f t="shared" si="1"/>
        <v>3.9218982241384892</v>
      </c>
      <c r="Z62" s="25">
        <f t="shared" si="2"/>
        <v>4.5319701090573657E-2</v>
      </c>
      <c r="AA62" s="49">
        <f t="shared" si="3"/>
        <v>2011</v>
      </c>
      <c r="AB62" s="29">
        <f t="shared" si="4"/>
        <v>1.9576544747548017</v>
      </c>
      <c r="AC62" s="23">
        <f t="shared" si="5"/>
        <v>112</v>
      </c>
      <c r="AD62" s="23" t="str">
        <f t="shared" si="6"/>
        <v>No</v>
      </c>
    </row>
    <row r="63" spans="1:30" x14ac:dyDescent="0.3">
      <c r="A63" s="23">
        <v>62</v>
      </c>
      <c r="B63" s="21" t="s">
        <v>107</v>
      </c>
      <c r="C63" s="23" t="s">
        <v>385</v>
      </c>
      <c r="D63" s="23">
        <v>-3</v>
      </c>
      <c r="E63" s="23" t="s">
        <v>41</v>
      </c>
      <c r="F63" s="23" t="s">
        <v>42</v>
      </c>
      <c r="G63" s="25">
        <v>1.7330000000000001</v>
      </c>
      <c r="H63" s="25">
        <v>3.9956993350006746E-4</v>
      </c>
      <c r="I63" s="25">
        <v>4.5245847182487135E-2</v>
      </c>
      <c r="J63" s="25">
        <v>0</v>
      </c>
      <c r="K63" s="25">
        <v>0</v>
      </c>
      <c r="L63" s="25">
        <v>0</v>
      </c>
      <c r="M63" s="25"/>
      <c r="N63" s="25">
        <v>0</v>
      </c>
      <c r="O63" s="25">
        <v>0</v>
      </c>
      <c r="P63" s="25">
        <v>5.2104586241731154E-4</v>
      </c>
      <c r="Q63" s="25">
        <v>0</v>
      </c>
      <c r="R63" s="25">
        <v>1.4418733793339925E-4</v>
      </c>
      <c r="S63" s="25"/>
      <c r="T63" s="25">
        <v>2.0219909991176441E-3</v>
      </c>
      <c r="U63" s="25">
        <v>1.4414406465498759E-3</v>
      </c>
      <c r="V63" s="25">
        <v>1.4786238354272792E-4</v>
      </c>
      <c r="W63" s="25">
        <v>1.3489802004001104E-4</v>
      </c>
      <c r="X63" s="25">
        <f t="shared" si="0"/>
        <v>5.0056842365588175E-2</v>
      </c>
      <c r="Y63" s="27">
        <f t="shared" si="1"/>
        <v>2.8884502230575979</v>
      </c>
      <c r="Z63" s="25">
        <f t="shared" si="2"/>
        <v>4.5245847182487135E-2</v>
      </c>
      <c r="AA63" s="49">
        <f t="shared" si="3"/>
        <v>2011</v>
      </c>
      <c r="AB63" s="29">
        <f t="shared" si="4"/>
        <v>2.610839421955403</v>
      </c>
      <c r="AC63" s="23">
        <f t="shared" si="5"/>
        <v>97</v>
      </c>
      <c r="AD63" s="23" t="str">
        <f t="shared" si="6"/>
        <v>No</v>
      </c>
    </row>
    <row r="64" spans="1:30" x14ac:dyDescent="0.3">
      <c r="A64" s="23">
        <v>63</v>
      </c>
      <c r="B64" s="21" t="s">
        <v>108</v>
      </c>
      <c r="C64" s="23" t="s">
        <v>386</v>
      </c>
      <c r="D64" s="23">
        <v>-3</v>
      </c>
      <c r="E64" s="23" t="s">
        <v>41</v>
      </c>
      <c r="F64" s="23" t="s">
        <v>42</v>
      </c>
      <c r="G64" s="25">
        <v>2.9140000000000001</v>
      </c>
      <c r="H64" s="25">
        <v>1.3397754707530107E-2</v>
      </c>
      <c r="I64" s="25">
        <v>1.8629866868926256E-2</v>
      </c>
      <c r="J64" s="25">
        <v>0</v>
      </c>
      <c r="K64" s="25">
        <v>0</v>
      </c>
      <c r="L64" s="25">
        <v>0</v>
      </c>
      <c r="M64" s="25"/>
      <c r="N64" s="25">
        <v>0</v>
      </c>
      <c r="O64" s="25">
        <v>0</v>
      </c>
      <c r="P64" s="25">
        <v>0</v>
      </c>
      <c r="Q64" s="25">
        <v>0</v>
      </c>
      <c r="R64" s="25">
        <v>1.8809394641529069E-4</v>
      </c>
      <c r="S64" s="25"/>
      <c r="T64" s="25">
        <v>0</v>
      </c>
      <c r="U64" s="25">
        <v>0</v>
      </c>
      <c r="V64" s="25">
        <v>0</v>
      </c>
      <c r="W64" s="25">
        <v>0</v>
      </c>
      <c r="X64" s="25">
        <f t="shared" si="0"/>
        <v>3.2215715522871655E-2</v>
      </c>
      <c r="Y64" s="27">
        <f t="shared" si="1"/>
        <v>1.1055496061383545</v>
      </c>
      <c r="Z64" s="25">
        <f t="shared" si="2"/>
        <v>1.8629866868926256E-2</v>
      </c>
      <c r="AA64" s="49">
        <f t="shared" si="3"/>
        <v>2011</v>
      </c>
      <c r="AB64" s="29">
        <f t="shared" si="4"/>
        <v>0.63932281636672117</v>
      </c>
      <c r="AC64" s="23">
        <f t="shared" si="5"/>
        <v>162</v>
      </c>
      <c r="AD64" s="23" t="str">
        <f t="shared" si="6"/>
        <v>No</v>
      </c>
    </row>
    <row r="65" spans="1:30" x14ac:dyDescent="0.3">
      <c r="A65" s="23">
        <v>64</v>
      </c>
      <c r="B65" s="21" t="s">
        <v>109</v>
      </c>
      <c r="C65" s="23" t="s">
        <v>387</v>
      </c>
      <c r="D65" s="23">
        <v>-2</v>
      </c>
      <c r="E65" s="23" t="s">
        <v>44</v>
      </c>
      <c r="F65" s="23" t="s">
        <v>42</v>
      </c>
      <c r="G65" s="25">
        <v>3.2829999999999999</v>
      </c>
      <c r="H65" s="25">
        <v>0.12537762986632528</v>
      </c>
      <c r="I65" s="25">
        <v>0</v>
      </c>
      <c r="J65" s="25">
        <v>0</v>
      </c>
      <c r="K65" s="25">
        <v>0</v>
      </c>
      <c r="L65" s="25">
        <v>0</v>
      </c>
      <c r="M65" s="25"/>
      <c r="N65" s="25">
        <v>0</v>
      </c>
      <c r="O65" s="25">
        <v>0</v>
      </c>
      <c r="P65" s="25">
        <v>0</v>
      </c>
      <c r="Q65" s="25">
        <v>0</v>
      </c>
      <c r="R65" s="25">
        <v>0</v>
      </c>
      <c r="S65" s="25"/>
      <c r="T65" s="25">
        <v>1.1150638508457486E-3</v>
      </c>
      <c r="U65" s="25">
        <v>0</v>
      </c>
      <c r="V65" s="25">
        <v>0</v>
      </c>
      <c r="W65" s="25">
        <v>1.5066843499713961E-2</v>
      </c>
      <c r="X65" s="25">
        <f t="shared" si="0"/>
        <v>0.141559537216885</v>
      </c>
      <c r="Y65" s="27">
        <f t="shared" si="1"/>
        <v>4.3118957422139808</v>
      </c>
      <c r="Z65" s="25">
        <f t="shared" si="2"/>
        <v>0.12537762986632528</v>
      </c>
      <c r="AA65" s="49">
        <f t="shared" si="3"/>
        <v>2010</v>
      </c>
      <c r="AB65" s="29">
        <f t="shared" si="4"/>
        <v>3.8189957315359511</v>
      </c>
      <c r="AC65" s="23">
        <f t="shared" si="5"/>
        <v>67</v>
      </c>
      <c r="AD65" s="23" t="str">
        <f t="shared" si="6"/>
        <v>No</v>
      </c>
    </row>
    <row r="66" spans="1:30" x14ac:dyDescent="0.3">
      <c r="A66" s="23">
        <v>65</v>
      </c>
      <c r="B66" s="21" t="s">
        <v>110</v>
      </c>
      <c r="C66" s="23" t="s">
        <v>388</v>
      </c>
      <c r="D66" s="23">
        <v>-4</v>
      </c>
      <c r="E66" s="23" t="s">
        <v>46</v>
      </c>
      <c r="F66" s="23" t="s">
        <v>42</v>
      </c>
      <c r="G66" s="25">
        <v>1.9219999999999999</v>
      </c>
      <c r="H66" s="25">
        <v>9.9014739076038707E-2</v>
      </c>
      <c r="I66" s="25">
        <v>5.3806503699999303E-4</v>
      </c>
      <c r="J66" s="25">
        <v>0</v>
      </c>
      <c r="K66" s="25">
        <v>0</v>
      </c>
      <c r="L66" s="25">
        <v>0</v>
      </c>
      <c r="M66" s="25"/>
      <c r="N66" s="25">
        <v>0</v>
      </c>
      <c r="O66" s="25">
        <v>0</v>
      </c>
      <c r="P66" s="25">
        <v>0</v>
      </c>
      <c r="Q66" s="25">
        <v>0</v>
      </c>
      <c r="R66" s="25">
        <v>0</v>
      </c>
      <c r="S66" s="25"/>
      <c r="T66" s="25">
        <v>0</v>
      </c>
      <c r="U66" s="25">
        <v>0</v>
      </c>
      <c r="V66" s="25">
        <v>1.5525638507801341E-4</v>
      </c>
      <c r="W66" s="25">
        <v>1.2366858408393946E-3</v>
      </c>
      <c r="X66" s="25">
        <f t="shared" ref="X66:X129" si="7">SUM(H66:W66)</f>
        <v>0.10094474633895612</v>
      </c>
      <c r="Y66" s="27">
        <f t="shared" ref="Y66:Y129" si="8">X66/G66*100</f>
        <v>5.2520679676876227</v>
      </c>
      <c r="Z66" s="25">
        <f t="shared" ref="Z66:Z129" si="9">MAX(H66:W66)</f>
        <v>9.9014739076038707E-2</v>
      </c>
      <c r="AA66" s="49">
        <f t="shared" ref="AA66:AA129" si="10">2010+MATCH(Z66,H66:W66,0)-1</f>
        <v>2010</v>
      </c>
      <c r="AB66" s="29">
        <f t="shared" ref="AB66:AB129" si="11">Z66/G66*100</f>
        <v>5.1516513567137725</v>
      </c>
      <c r="AC66" s="23">
        <f t="shared" ref="AC66:AC129" si="12">IF(F66="Valid",RANK(AB66,$AB$2:$AB$240,0),"")</f>
        <v>56</v>
      </c>
      <c r="AD66" s="23" t="str">
        <f t="shared" ref="AD66:AD129" si="13">IF(AND(F66="Valid",AC66&lt;=24),"Yes","No")</f>
        <v>No</v>
      </c>
    </row>
    <row r="67" spans="1:30" x14ac:dyDescent="0.3">
      <c r="A67" s="23">
        <v>66</v>
      </c>
      <c r="B67" s="21" t="s">
        <v>111</v>
      </c>
      <c r="C67" s="23" t="s">
        <v>389</v>
      </c>
      <c r="D67" s="23">
        <v>-2</v>
      </c>
      <c r="E67" s="23" t="s">
        <v>44</v>
      </c>
      <c r="F67" s="23" t="s">
        <v>42</v>
      </c>
      <c r="G67" s="25">
        <v>3.6739999999999999</v>
      </c>
      <c r="H67" s="25">
        <v>2.531407028999707E-3</v>
      </c>
      <c r="I67" s="25">
        <v>0</v>
      </c>
      <c r="J67" s="25">
        <v>6.2456053184947085E-4</v>
      </c>
      <c r="K67" s="25">
        <v>4.9177831031067766E-4</v>
      </c>
      <c r="L67" s="25">
        <v>2.3492810158334577E-3</v>
      </c>
      <c r="M67" s="25"/>
      <c r="N67" s="25">
        <v>0</v>
      </c>
      <c r="O67" s="25">
        <v>0</v>
      </c>
      <c r="P67" s="25">
        <v>1.0925018577452284E-4</v>
      </c>
      <c r="Q67" s="25">
        <v>0</v>
      </c>
      <c r="R67" s="25">
        <v>7.2932802561014975E-4</v>
      </c>
      <c r="S67" s="25"/>
      <c r="T67" s="25">
        <v>1.4856810119993169E-3</v>
      </c>
      <c r="U67" s="25">
        <v>0</v>
      </c>
      <c r="V67" s="25">
        <v>0</v>
      </c>
      <c r="W67" s="25">
        <v>0</v>
      </c>
      <c r="X67" s="25">
        <f t="shared" si="7"/>
        <v>8.3212861103773017E-3</v>
      </c>
      <c r="Y67" s="27">
        <f t="shared" si="8"/>
        <v>0.2264911842780975</v>
      </c>
      <c r="Z67" s="25">
        <f t="shared" si="9"/>
        <v>2.531407028999707E-3</v>
      </c>
      <c r="AA67" s="49">
        <f t="shared" si="10"/>
        <v>2010</v>
      </c>
      <c r="AB67" s="29">
        <f t="shared" si="11"/>
        <v>6.8900572373426963E-2</v>
      </c>
      <c r="AC67" s="23">
        <f t="shared" si="12"/>
        <v>207</v>
      </c>
      <c r="AD67" s="23" t="str">
        <f t="shared" si="13"/>
        <v>No</v>
      </c>
    </row>
    <row r="68" spans="1:30" x14ac:dyDescent="0.3">
      <c r="A68" s="23">
        <v>67</v>
      </c>
      <c r="B68" s="21" t="s">
        <v>112</v>
      </c>
      <c r="C68" s="23" t="s">
        <v>390</v>
      </c>
      <c r="D68" s="23">
        <v>-2</v>
      </c>
      <c r="E68" s="23" t="s">
        <v>44</v>
      </c>
      <c r="F68" s="23" t="s">
        <v>42</v>
      </c>
      <c r="G68" s="25">
        <v>4.1870000000000003</v>
      </c>
      <c r="H68" s="25">
        <v>2.334177897499885E-3</v>
      </c>
      <c r="I68" s="25">
        <v>3.6203060810007155E-3</v>
      </c>
      <c r="J68" s="25">
        <v>0</v>
      </c>
      <c r="K68" s="25">
        <v>0</v>
      </c>
      <c r="L68" s="25">
        <v>0</v>
      </c>
      <c r="M68" s="25"/>
      <c r="N68" s="25">
        <v>0</v>
      </c>
      <c r="O68" s="25">
        <v>0</v>
      </c>
      <c r="P68" s="25">
        <v>0</v>
      </c>
      <c r="Q68" s="25">
        <v>0</v>
      </c>
      <c r="R68" s="25">
        <v>9.8778519796126059E-4</v>
      </c>
      <c r="S68" s="25"/>
      <c r="T68" s="25">
        <v>5.644811553568381E-4</v>
      </c>
      <c r="U68" s="25">
        <v>1.0787564507010393E-4</v>
      </c>
      <c r="V68" s="25">
        <v>0</v>
      </c>
      <c r="W68" s="25">
        <v>0</v>
      </c>
      <c r="X68" s="25">
        <f t="shared" si="7"/>
        <v>7.6146259768888024E-3</v>
      </c>
      <c r="Y68" s="27">
        <f t="shared" si="8"/>
        <v>0.18186352942175307</v>
      </c>
      <c r="Z68" s="25">
        <f t="shared" si="9"/>
        <v>3.6203060810007155E-3</v>
      </c>
      <c r="AA68" s="49">
        <f t="shared" si="10"/>
        <v>2011</v>
      </c>
      <c r="AB68" s="29">
        <f t="shared" si="11"/>
        <v>8.6465394817308694E-2</v>
      </c>
      <c r="AC68" s="23">
        <f t="shared" si="12"/>
        <v>205</v>
      </c>
      <c r="AD68" s="23" t="str">
        <f t="shared" si="13"/>
        <v>No</v>
      </c>
    </row>
    <row r="69" spans="1:30" x14ac:dyDescent="0.3">
      <c r="A69" s="23">
        <v>68</v>
      </c>
      <c r="B69" s="21" t="s">
        <v>113</v>
      </c>
      <c r="C69" s="23" t="s">
        <v>391</v>
      </c>
      <c r="D69" s="23">
        <v>-3</v>
      </c>
      <c r="E69" s="23" t="s">
        <v>41</v>
      </c>
      <c r="F69" s="23" t="s">
        <v>42</v>
      </c>
      <c r="G69" s="25">
        <v>2.34</v>
      </c>
      <c r="H69" s="25">
        <v>0</v>
      </c>
      <c r="I69" s="25">
        <v>0</v>
      </c>
      <c r="J69" s="25">
        <v>0</v>
      </c>
      <c r="K69" s="25">
        <v>0</v>
      </c>
      <c r="L69" s="25">
        <v>0</v>
      </c>
      <c r="M69" s="25"/>
      <c r="N69" s="25">
        <v>0</v>
      </c>
      <c r="O69" s="25">
        <v>0</v>
      </c>
      <c r="P69" s="25">
        <v>1.1489169025550945E-3</v>
      </c>
      <c r="Q69" s="25">
        <v>0</v>
      </c>
      <c r="R69" s="25">
        <v>0</v>
      </c>
      <c r="S69" s="25"/>
      <c r="T69" s="25">
        <v>1.413811279837144E-3</v>
      </c>
      <c r="U69" s="25">
        <v>0</v>
      </c>
      <c r="V69" s="25">
        <v>1.7299732101371047E-4</v>
      </c>
      <c r="W69" s="25">
        <v>0</v>
      </c>
      <c r="X69" s="25">
        <f t="shared" si="7"/>
        <v>2.7357255034059494E-3</v>
      </c>
      <c r="Y69" s="27">
        <f t="shared" si="8"/>
        <v>0.11691134629939956</v>
      </c>
      <c r="Z69" s="25">
        <f t="shared" si="9"/>
        <v>1.413811279837144E-3</v>
      </c>
      <c r="AA69" s="49">
        <f t="shared" si="10"/>
        <v>2022</v>
      </c>
      <c r="AB69" s="29">
        <f t="shared" si="11"/>
        <v>6.0419285463125819E-2</v>
      </c>
      <c r="AC69" s="23">
        <f t="shared" si="12"/>
        <v>211</v>
      </c>
      <c r="AD69" s="23" t="str">
        <f t="shared" si="13"/>
        <v>No</v>
      </c>
    </row>
    <row r="70" spans="1:30" x14ac:dyDescent="0.3">
      <c r="A70" s="23">
        <v>69</v>
      </c>
      <c r="B70" s="21" t="s">
        <v>114</v>
      </c>
      <c r="C70" s="23" t="s">
        <v>392</v>
      </c>
      <c r="D70" s="23">
        <v>-3</v>
      </c>
      <c r="E70" s="23" t="s">
        <v>41</v>
      </c>
      <c r="F70" s="23" t="s">
        <v>42</v>
      </c>
      <c r="G70" s="25">
        <v>2.6440000000000001</v>
      </c>
      <c r="H70" s="25">
        <v>0.16183956737552455</v>
      </c>
      <c r="I70" s="25">
        <v>0</v>
      </c>
      <c r="J70" s="25">
        <v>0</v>
      </c>
      <c r="K70" s="25">
        <v>0</v>
      </c>
      <c r="L70" s="25">
        <v>0</v>
      </c>
      <c r="M70" s="25"/>
      <c r="N70" s="25">
        <v>0</v>
      </c>
      <c r="O70" s="25">
        <v>0</v>
      </c>
      <c r="P70" s="25">
        <v>0</v>
      </c>
      <c r="Q70" s="25">
        <v>0</v>
      </c>
      <c r="R70" s="25">
        <v>0</v>
      </c>
      <c r="S70" s="25"/>
      <c r="T70" s="25">
        <v>1.2363879873344703E-3</v>
      </c>
      <c r="U70" s="25">
        <v>0</v>
      </c>
      <c r="V70" s="25">
        <v>0</v>
      </c>
      <c r="W70" s="25">
        <v>5.3718581061708848E-3</v>
      </c>
      <c r="X70" s="25">
        <f t="shared" si="7"/>
        <v>0.1684478134690299</v>
      </c>
      <c r="Y70" s="27">
        <f t="shared" si="8"/>
        <v>6.3709460464837333</v>
      </c>
      <c r="Z70" s="25">
        <f t="shared" si="9"/>
        <v>0.16183956737552455</v>
      </c>
      <c r="AA70" s="49">
        <f t="shared" si="10"/>
        <v>2010</v>
      </c>
      <c r="AB70" s="29">
        <f t="shared" si="11"/>
        <v>6.1210123818277058</v>
      </c>
      <c r="AC70" s="23">
        <f t="shared" si="12"/>
        <v>49</v>
      </c>
      <c r="AD70" s="23" t="str">
        <f t="shared" si="13"/>
        <v>No</v>
      </c>
    </row>
    <row r="71" spans="1:30" x14ac:dyDescent="0.3">
      <c r="A71" s="23">
        <v>70</v>
      </c>
      <c r="B71" s="21" t="s">
        <v>115</v>
      </c>
      <c r="C71" s="23" t="s">
        <v>393</v>
      </c>
      <c r="D71" s="23">
        <v>-3</v>
      </c>
      <c r="E71" s="23" t="s">
        <v>41</v>
      </c>
      <c r="F71" s="23" t="s">
        <v>42</v>
      </c>
      <c r="G71" s="25">
        <v>1.0229999999999999</v>
      </c>
      <c r="H71" s="25">
        <v>2.7338956780498382E-2</v>
      </c>
      <c r="I71" s="25">
        <v>0</v>
      </c>
      <c r="J71" s="25">
        <v>1.4412701321172061E-4</v>
      </c>
      <c r="K71" s="25">
        <v>6.0729080696200256E-4</v>
      </c>
      <c r="L71" s="25">
        <v>0</v>
      </c>
      <c r="M71" s="25"/>
      <c r="N71" s="25">
        <v>0</v>
      </c>
      <c r="O71" s="25">
        <v>0</v>
      </c>
      <c r="P71" s="25">
        <v>4.344404795756953E-3</v>
      </c>
      <c r="Q71" s="25">
        <v>0</v>
      </c>
      <c r="R71" s="25">
        <v>0</v>
      </c>
      <c r="S71" s="25"/>
      <c r="T71" s="25">
        <v>9.4745830917698076E-4</v>
      </c>
      <c r="U71" s="25">
        <v>0</v>
      </c>
      <c r="V71" s="25">
        <v>0</v>
      </c>
      <c r="W71" s="25">
        <v>1.1574689795757986E-2</v>
      </c>
      <c r="X71" s="25">
        <f t="shared" si="7"/>
        <v>4.4956927501364027E-2</v>
      </c>
      <c r="Y71" s="27">
        <f t="shared" si="8"/>
        <v>4.3946165690482921</v>
      </c>
      <c r="Z71" s="25">
        <f t="shared" si="9"/>
        <v>2.7338956780498382E-2</v>
      </c>
      <c r="AA71" s="49">
        <f t="shared" si="10"/>
        <v>2010</v>
      </c>
      <c r="AB71" s="29">
        <f t="shared" si="11"/>
        <v>2.6724297928150915</v>
      </c>
      <c r="AC71" s="23">
        <f t="shared" si="12"/>
        <v>95</v>
      </c>
      <c r="AD71" s="23" t="str">
        <f t="shared" si="13"/>
        <v>No</v>
      </c>
    </row>
    <row r="72" spans="1:30" x14ac:dyDescent="0.3">
      <c r="A72" s="23">
        <v>71</v>
      </c>
      <c r="B72" s="21" t="s">
        <v>116</v>
      </c>
      <c r="C72" s="23" t="s">
        <v>394</v>
      </c>
      <c r="D72" s="23">
        <v>-2</v>
      </c>
      <c r="E72" s="23" t="s">
        <v>44</v>
      </c>
      <c r="F72" s="23" t="s">
        <v>42</v>
      </c>
      <c r="G72" s="25">
        <v>1.5169999999999999</v>
      </c>
      <c r="H72" s="25">
        <v>4.2526613100073041E-3</v>
      </c>
      <c r="I72" s="25">
        <v>1.1429872749890359E-4</v>
      </c>
      <c r="J72" s="25">
        <v>0</v>
      </c>
      <c r="K72" s="25">
        <v>0</v>
      </c>
      <c r="L72" s="25">
        <v>0</v>
      </c>
      <c r="M72" s="25"/>
      <c r="N72" s="25">
        <v>0</v>
      </c>
      <c r="O72" s="25">
        <v>0</v>
      </c>
      <c r="P72" s="25">
        <v>0</v>
      </c>
      <c r="Q72" s="25">
        <v>0</v>
      </c>
      <c r="R72" s="25">
        <v>0</v>
      </c>
      <c r="S72" s="25"/>
      <c r="T72" s="25">
        <v>7.936643782227356E-4</v>
      </c>
      <c r="U72" s="25">
        <v>0</v>
      </c>
      <c r="V72" s="25">
        <v>0</v>
      </c>
      <c r="W72" s="25">
        <v>0</v>
      </c>
      <c r="X72" s="25">
        <f t="shared" si="7"/>
        <v>5.1606244157289434E-3</v>
      </c>
      <c r="Y72" s="27">
        <f t="shared" si="8"/>
        <v>0.34018618429327246</v>
      </c>
      <c r="Z72" s="25">
        <f t="shared" si="9"/>
        <v>4.2526613100073041E-3</v>
      </c>
      <c r="AA72" s="49">
        <f t="shared" si="10"/>
        <v>2010</v>
      </c>
      <c r="AB72" s="29">
        <f t="shared" si="11"/>
        <v>0.28033363942038925</v>
      </c>
      <c r="AC72" s="23">
        <f t="shared" si="12"/>
        <v>179</v>
      </c>
      <c r="AD72" s="23" t="str">
        <f t="shared" si="13"/>
        <v>No</v>
      </c>
    </row>
    <row r="73" spans="1:30" x14ac:dyDescent="0.3">
      <c r="A73" s="23">
        <v>72</v>
      </c>
      <c r="B73" s="21" t="s">
        <v>117</v>
      </c>
      <c r="C73" s="23" t="s">
        <v>395</v>
      </c>
      <c r="D73" s="23">
        <v>-2</v>
      </c>
      <c r="E73" s="23" t="s">
        <v>44</v>
      </c>
      <c r="F73" s="23" t="s">
        <v>42</v>
      </c>
      <c r="G73" s="25">
        <v>1.3520000000000001</v>
      </c>
      <c r="H73" s="25">
        <v>2.812846785399848E-2</v>
      </c>
      <c r="I73" s="25">
        <v>0</v>
      </c>
      <c r="J73" s="25">
        <v>0</v>
      </c>
      <c r="K73" s="25">
        <v>0</v>
      </c>
      <c r="L73" s="25">
        <v>0</v>
      </c>
      <c r="M73" s="25"/>
      <c r="N73" s="25">
        <v>0</v>
      </c>
      <c r="O73" s="25">
        <v>0</v>
      </c>
      <c r="P73" s="25">
        <v>0</v>
      </c>
      <c r="Q73" s="25">
        <v>0</v>
      </c>
      <c r="R73" s="25">
        <v>0</v>
      </c>
      <c r="S73" s="25"/>
      <c r="T73" s="25">
        <v>0</v>
      </c>
      <c r="U73" s="25">
        <v>2.676521603760193E-5</v>
      </c>
      <c r="V73" s="25">
        <v>0</v>
      </c>
      <c r="W73" s="25">
        <v>1.7860898256849032E-4</v>
      </c>
      <c r="X73" s="25">
        <f t="shared" si="7"/>
        <v>2.8333842052604571E-2</v>
      </c>
      <c r="Y73" s="27">
        <f t="shared" si="8"/>
        <v>2.0956983766719355</v>
      </c>
      <c r="Z73" s="25">
        <f t="shared" si="9"/>
        <v>2.812846785399848E-2</v>
      </c>
      <c r="AA73" s="49">
        <f t="shared" si="10"/>
        <v>2010</v>
      </c>
      <c r="AB73" s="29">
        <f t="shared" si="11"/>
        <v>2.0805079773667514</v>
      </c>
      <c r="AC73" s="23">
        <f t="shared" si="12"/>
        <v>109</v>
      </c>
      <c r="AD73" s="23" t="str">
        <f t="shared" si="13"/>
        <v>No</v>
      </c>
    </row>
    <row r="74" spans="1:30" x14ac:dyDescent="0.3">
      <c r="A74" s="23">
        <v>73</v>
      </c>
      <c r="B74" s="21" t="s">
        <v>118</v>
      </c>
      <c r="C74" s="23" t="s">
        <v>396</v>
      </c>
      <c r="D74" s="23" t="s">
        <v>120</v>
      </c>
      <c r="E74" s="23" t="s">
        <v>120</v>
      </c>
      <c r="F74" s="23" t="s">
        <v>121</v>
      </c>
      <c r="G74" s="25">
        <v>3.1920000000000002</v>
      </c>
      <c r="H74" s="25">
        <v>0</v>
      </c>
      <c r="I74" s="25">
        <v>0</v>
      </c>
      <c r="J74" s="25">
        <v>0</v>
      </c>
      <c r="K74" s="25">
        <v>0</v>
      </c>
      <c r="L74" s="25">
        <v>0</v>
      </c>
      <c r="M74" s="25"/>
      <c r="N74" s="25">
        <v>0</v>
      </c>
      <c r="O74" s="25">
        <v>0</v>
      </c>
      <c r="P74" s="25">
        <v>0</v>
      </c>
      <c r="Q74" s="25">
        <v>0</v>
      </c>
      <c r="R74" s="25">
        <v>0</v>
      </c>
      <c r="S74" s="25"/>
      <c r="T74" s="25">
        <v>1.729501484590117E-3</v>
      </c>
      <c r="U74" s="25">
        <v>0</v>
      </c>
      <c r="V74" s="25">
        <v>0</v>
      </c>
      <c r="W74" s="25">
        <v>0</v>
      </c>
      <c r="X74" s="25">
        <f t="shared" si="7"/>
        <v>1.729501484590117E-3</v>
      </c>
      <c r="Y74" s="27">
        <f t="shared" si="8"/>
        <v>5.4182377336783112E-2</v>
      </c>
      <c r="Z74" s="25">
        <f t="shared" si="9"/>
        <v>1.729501484590117E-3</v>
      </c>
      <c r="AA74" s="49">
        <f t="shared" si="10"/>
        <v>2022</v>
      </c>
      <c r="AB74" s="29">
        <f t="shared" si="11"/>
        <v>5.4182377336783112E-2</v>
      </c>
      <c r="AC74" s="23" t="str">
        <f t="shared" si="12"/>
        <v/>
      </c>
      <c r="AD74" s="23" t="str">
        <f t="shared" si="13"/>
        <v>No</v>
      </c>
    </row>
    <row r="75" spans="1:30" x14ac:dyDescent="0.3">
      <c r="A75" s="23">
        <v>74</v>
      </c>
      <c r="B75" s="21" t="s">
        <v>122</v>
      </c>
      <c r="C75" s="23" t="s">
        <v>397</v>
      </c>
      <c r="D75" s="23">
        <v>1</v>
      </c>
      <c r="E75" s="23" t="s">
        <v>52</v>
      </c>
      <c r="F75" s="23" t="s">
        <v>42</v>
      </c>
      <c r="G75" s="25">
        <v>2.4460000000000002</v>
      </c>
      <c r="H75" s="25">
        <v>0</v>
      </c>
      <c r="I75" s="25">
        <v>0</v>
      </c>
      <c r="J75" s="25">
        <v>0</v>
      </c>
      <c r="K75" s="25">
        <v>0</v>
      </c>
      <c r="L75" s="25">
        <v>0</v>
      </c>
      <c r="M75" s="25"/>
      <c r="N75" s="25">
        <v>3.3080223177350127E-4</v>
      </c>
      <c r="O75" s="25">
        <v>3.3080223177343578E-4</v>
      </c>
      <c r="P75" s="25">
        <v>3.308022317736395E-4</v>
      </c>
      <c r="Q75" s="25">
        <v>0</v>
      </c>
      <c r="R75" s="25">
        <v>0</v>
      </c>
      <c r="S75" s="25"/>
      <c r="T75" s="25">
        <v>0</v>
      </c>
      <c r="U75" s="25">
        <v>0</v>
      </c>
      <c r="V75" s="25">
        <v>1.9525069998538821E-3</v>
      </c>
      <c r="W75" s="25">
        <v>0</v>
      </c>
      <c r="X75" s="25">
        <f t="shared" si="7"/>
        <v>2.9449136951744588E-3</v>
      </c>
      <c r="Y75" s="27">
        <f t="shared" si="8"/>
        <v>0.12039712572258621</v>
      </c>
      <c r="Z75" s="25">
        <f t="shared" si="9"/>
        <v>1.9525069998538821E-3</v>
      </c>
      <c r="AA75" s="49">
        <f t="shared" si="10"/>
        <v>2024</v>
      </c>
      <c r="AB75" s="29">
        <f t="shared" si="11"/>
        <v>7.9824488955596157E-2</v>
      </c>
      <c r="AC75" s="23">
        <f t="shared" si="12"/>
        <v>206</v>
      </c>
      <c r="AD75" s="23" t="str">
        <f t="shared" si="13"/>
        <v>No</v>
      </c>
    </row>
    <row r="76" spans="1:30" x14ac:dyDescent="0.3">
      <c r="A76" s="23">
        <v>75</v>
      </c>
      <c r="B76" s="21" t="s">
        <v>123</v>
      </c>
      <c r="C76" s="23" t="s">
        <v>398</v>
      </c>
      <c r="D76" s="23">
        <v>-2</v>
      </c>
      <c r="E76" s="23" t="s">
        <v>44</v>
      </c>
      <c r="F76" s="23" t="s">
        <v>42</v>
      </c>
      <c r="G76" s="25">
        <v>1.752</v>
      </c>
      <c r="H76" s="25">
        <v>2.3389483914569502E-3</v>
      </c>
      <c r="I76" s="25">
        <v>0</v>
      </c>
      <c r="J76" s="25">
        <v>0</v>
      </c>
      <c r="K76" s="25">
        <v>0</v>
      </c>
      <c r="L76" s="25">
        <v>0</v>
      </c>
      <c r="M76" s="25"/>
      <c r="N76" s="25">
        <v>0</v>
      </c>
      <c r="O76" s="25">
        <v>0</v>
      </c>
      <c r="P76" s="25">
        <v>0</v>
      </c>
      <c r="Q76" s="25">
        <v>0</v>
      </c>
      <c r="R76" s="25">
        <v>0</v>
      </c>
      <c r="S76" s="25"/>
      <c r="T76" s="25">
        <v>1.6119916758203909E-3</v>
      </c>
      <c r="U76" s="25">
        <v>0</v>
      </c>
      <c r="V76" s="25">
        <v>0</v>
      </c>
      <c r="W76" s="25">
        <v>0</v>
      </c>
      <c r="X76" s="25">
        <f t="shared" si="7"/>
        <v>3.9509400672773408E-3</v>
      </c>
      <c r="Y76" s="27">
        <f t="shared" si="8"/>
        <v>0.22551027781263361</v>
      </c>
      <c r="Z76" s="25">
        <f t="shared" si="9"/>
        <v>2.3389483914569502E-3</v>
      </c>
      <c r="AA76" s="49">
        <f t="shared" si="10"/>
        <v>2010</v>
      </c>
      <c r="AB76" s="29">
        <f t="shared" si="11"/>
        <v>0.13350162051694922</v>
      </c>
      <c r="AC76" s="23">
        <f t="shared" si="12"/>
        <v>196</v>
      </c>
      <c r="AD76" s="23" t="str">
        <f t="shared" si="13"/>
        <v>No</v>
      </c>
    </row>
    <row r="77" spans="1:30" x14ac:dyDescent="0.3">
      <c r="A77" s="23">
        <v>76</v>
      </c>
      <c r="B77" s="21" t="s">
        <v>124</v>
      </c>
      <c r="C77" s="23" t="s">
        <v>399</v>
      </c>
      <c r="D77" s="23">
        <v>-2</v>
      </c>
      <c r="E77" s="23" t="s">
        <v>44</v>
      </c>
      <c r="F77" s="23" t="s">
        <v>42</v>
      </c>
      <c r="G77" s="25">
        <v>0.76600000000000001</v>
      </c>
      <c r="H77" s="25">
        <v>0</v>
      </c>
      <c r="I77" s="25">
        <v>0</v>
      </c>
      <c r="J77" s="25">
        <v>0</v>
      </c>
      <c r="K77" s="25">
        <v>0</v>
      </c>
      <c r="L77" s="25">
        <v>0</v>
      </c>
      <c r="M77" s="25"/>
      <c r="N77" s="25">
        <v>0</v>
      </c>
      <c r="O77" s="25">
        <v>0</v>
      </c>
      <c r="P77" s="25">
        <v>0</v>
      </c>
      <c r="Q77" s="25">
        <v>0</v>
      </c>
      <c r="R77" s="25">
        <v>0</v>
      </c>
      <c r="S77" s="25"/>
      <c r="T77" s="25">
        <v>0</v>
      </c>
      <c r="U77" s="25">
        <v>0</v>
      </c>
      <c r="V77" s="25">
        <v>0</v>
      </c>
      <c r="W77" s="25">
        <v>0</v>
      </c>
      <c r="X77" s="25">
        <f t="shared" si="7"/>
        <v>0</v>
      </c>
      <c r="Y77" s="27">
        <f t="shared" si="8"/>
        <v>0</v>
      </c>
      <c r="Z77" s="25">
        <f t="shared" si="9"/>
        <v>0</v>
      </c>
      <c r="AA77" s="49">
        <f t="shared" si="10"/>
        <v>2010</v>
      </c>
      <c r="AB77" s="29">
        <f t="shared" si="11"/>
        <v>0</v>
      </c>
      <c r="AC77" s="23">
        <f t="shared" si="12"/>
        <v>232</v>
      </c>
      <c r="AD77" s="23" t="str">
        <f t="shared" si="13"/>
        <v>No</v>
      </c>
    </row>
    <row r="78" spans="1:30" x14ac:dyDescent="0.3">
      <c r="A78" s="23">
        <v>77</v>
      </c>
      <c r="B78" s="21" t="s">
        <v>125</v>
      </c>
      <c r="C78" s="23" t="s">
        <v>400</v>
      </c>
      <c r="D78" s="23">
        <v>-4</v>
      </c>
      <c r="E78" s="23" t="s">
        <v>46</v>
      </c>
      <c r="F78" s="23" t="s">
        <v>42</v>
      </c>
      <c r="G78" s="25">
        <v>3.43</v>
      </c>
      <c r="H78" s="25">
        <v>0.10473794283275643</v>
      </c>
      <c r="I78" s="25">
        <v>0</v>
      </c>
      <c r="J78" s="25">
        <v>0</v>
      </c>
      <c r="K78" s="25">
        <v>0</v>
      </c>
      <c r="L78" s="25">
        <v>0</v>
      </c>
      <c r="M78" s="25"/>
      <c r="N78" s="25">
        <v>0</v>
      </c>
      <c r="O78" s="25">
        <v>0</v>
      </c>
      <c r="P78" s="25">
        <v>0</v>
      </c>
      <c r="Q78" s="25">
        <v>0</v>
      </c>
      <c r="R78" s="25">
        <v>0</v>
      </c>
      <c r="S78" s="25"/>
      <c r="T78" s="25">
        <v>0</v>
      </c>
      <c r="U78" s="25">
        <v>0</v>
      </c>
      <c r="V78" s="25">
        <v>0</v>
      </c>
      <c r="W78" s="25">
        <v>2.1313845133923461E-3</v>
      </c>
      <c r="X78" s="25">
        <f t="shared" si="7"/>
        <v>0.10686932734614878</v>
      </c>
      <c r="Y78" s="27">
        <f t="shared" si="8"/>
        <v>3.1157238293337834</v>
      </c>
      <c r="Z78" s="25">
        <f t="shared" si="9"/>
        <v>0.10473794283275643</v>
      </c>
      <c r="AA78" s="49">
        <f t="shared" si="10"/>
        <v>2010</v>
      </c>
      <c r="AB78" s="29">
        <f t="shared" si="11"/>
        <v>3.0535843391474176</v>
      </c>
      <c r="AC78" s="23">
        <f t="shared" si="12"/>
        <v>85</v>
      </c>
      <c r="AD78" s="23" t="str">
        <f t="shared" si="13"/>
        <v>No</v>
      </c>
    </row>
    <row r="79" spans="1:30" x14ac:dyDescent="0.3">
      <c r="A79" s="23">
        <v>78</v>
      </c>
      <c r="B79" s="21" t="s">
        <v>126</v>
      </c>
      <c r="C79" s="23" t="s">
        <v>401</v>
      </c>
      <c r="D79" s="23">
        <v>-2</v>
      </c>
      <c r="E79" s="23" t="s">
        <v>44</v>
      </c>
      <c r="F79" s="23" t="s">
        <v>42</v>
      </c>
      <c r="G79" s="25">
        <v>1.196</v>
      </c>
      <c r="H79" s="25">
        <v>0</v>
      </c>
      <c r="I79" s="25">
        <v>0</v>
      </c>
      <c r="J79" s="25">
        <v>5.056699680979364E-6</v>
      </c>
      <c r="K79" s="25">
        <v>5.4161507351069304E-5</v>
      </c>
      <c r="L79" s="25">
        <v>0</v>
      </c>
      <c r="M79" s="25"/>
      <c r="N79" s="25">
        <v>0</v>
      </c>
      <c r="O79" s="25">
        <v>0</v>
      </c>
      <c r="P79" s="25">
        <v>9.9182977990712977E-5</v>
      </c>
      <c r="Q79" s="25">
        <v>0</v>
      </c>
      <c r="R79" s="25">
        <v>2.7548101120104731E-4</v>
      </c>
      <c r="S79" s="25"/>
      <c r="T79" s="25">
        <v>1.4091760045546108E-4</v>
      </c>
      <c r="U79" s="25">
        <v>0</v>
      </c>
      <c r="V79" s="25">
        <v>0</v>
      </c>
      <c r="W79" s="25">
        <v>0</v>
      </c>
      <c r="X79" s="25">
        <f t="shared" si="7"/>
        <v>5.7479979667927005E-4</v>
      </c>
      <c r="Y79" s="27">
        <f t="shared" si="8"/>
        <v>4.8060183668835292E-2</v>
      </c>
      <c r="Z79" s="25">
        <f t="shared" si="9"/>
        <v>2.7548101120104731E-4</v>
      </c>
      <c r="AA79" s="49">
        <f t="shared" si="10"/>
        <v>2020</v>
      </c>
      <c r="AB79" s="29">
        <f t="shared" si="11"/>
        <v>2.3033529364636065E-2</v>
      </c>
      <c r="AC79" s="23">
        <f t="shared" si="12"/>
        <v>217</v>
      </c>
      <c r="AD79" s="23" t="str">
        <f t="shared" si="13"/>
        <v>No</v>
      </c>
    </row>
    <row r="80" spans="1:30" x14ac:dyDescent="0.3">
      <c r="A80" s="23">
        <v>79</v>
      </c>
      <c r="B80" s="21" t="s">
        <v>127</v>
      </c>
      <c r="C80" s="23" t="s">
        <v>402</v>
      </c>
      <c r="D80" s="23">
        <v>-2</v>
      </c>
      <c r="E80" s="23" t="s">
        <v>44</v>
      </c>
      <c r="F80" s="23" t="s">
        <v>42</v>
      </c>
      <c r="G80" s="25">
        <v>3.895</v>
      </c>
      <c r="H80" s="25">
        <v>0.23568934976048134</v>
      </c>
      <c r="I80" s="25">
        <v>0</v>
      </c>
      <c r="J80" s="25">
        <v>0</v>
      </c>
      <c r="K80" s="25">
        <v>0</v>
      </c>
      <c r="L80" s="25">
        <v>0</v>
      </c>
      <c r="M80" s="25"/>
      <c r="N80" s="25">
        <v>0</v>
      </c>
      <c r="O80" s="25">
        <v>0</v>
      </c>
      <c r="P80" s="25">
        <v>1.1475089471752872E-3</v>
      </c>
      <c r="Q80" s="25">
        <v>0</v>
      </c>
      <c r="R80" s="25">
        <v>0</v>
      </c>
      <c r="S80" s="25"/>
      <c r="T80" s="25">
        <v>0</v>
      </c>
      <c r="U80" s="25">
        <v>0</v>
      </c>
      <c r="V80" s="25">
        <v>0</v>
      </c>
      <c r="W80" s="25">
        <v>1.294229520084794E-2</v>
      </c>
      <c r="X80" s="25">
        <f t="shared" si="7"/>
        <v>0.24977915390850455</v>
      </c>
      <c r="Y80" s="27">
        <f t="shared" si="8"/>
        <v>6.4128152479718761</v>
      </c>
      <c r="Z80" s="25">
        <f t="shared" si="9"/>
        <v>0.23568934976048134</v>
      </c>
      <c r="AA80" s="49">
        <f t="shared" si="10"/>
        <v>2010</v>
      </c>
      <c r="AB80" s="29">
        <f t="shared" si="11"/>
        <v>6.0510744482793664</v>
      </c>
      <c r="AC80" s="23">
        <f t="shared" si="12"/>
        <v>50</v>
      </c>
      <c r="AD80" s="23" t="str">
        <f t="shared" si="13"/>
        <v>No</v>
      </c>
    </row>
    <row r="81" spans="1:30" x14ac:dyDescent="0.3">
      <c r="A81" s="23">
        <v>80</v>
      </c>
      <c r="B81" s="21" t="s">
        <v>128</v>
      </c>
      <c r="C81" s="23" t="s">
        <v>403</v>
      </c>
      <c r="D81" s="23">
        <v>-3</v>
      </c>
      <c r="E81" s="23" t="s">
        <v>41</v>
      </c>
      <c r="F81" s="23" t="s">
        <v>42</v>
      </c>
      <c r="G81" s="25">
        <v>1.444</v>
      </c>
      <c r="H81" s="25">
        <v>1.5998591224993062E-3</v>
      </c>
      <c r="I81" s="25">
        <v>0</v>
      </c>
      <c r="J81" s="25">
        <v>0</v>
      </c>
      <c r="K81" s="25">
        <v>0</v>
      </c>
      <c r="L81" s="25">
        <v>0</v>
      </c>
      <c r="M81" s="25"/>
      <c r="N81" s="25">
        <v>0</v>
      </c>
      <c r="O81" s="25">
        <v>0</v>
      </c>
      <c r="P81" s="25">
        <v>0</v>
      </c>
      <c r="Q81" s="25">
        <v>0</v>
      </c>
      <c r="R81" s="25">
        <v>0</v>
      </c>
      <c r="S81" s="25"/>
      <c r="T81" s="25">
        <v>6.8395573000660075E-5</v>
      </c>
      <c r="U81" s="25">
        <v>0</v>
      </c>
      <c r="V81" s="25">
        <v>0</v>
      </c>
      <c r="W81" s="25">
        <v>0</v>
      </c>
      <c r="X81" s="25">
        <f t="shared" si="7"/>
        <v>1.6682546954999663E-3</v>
      </c>
      <c r="Y81" s="27">
        <f t="shared" si="8"/>
        <v>0.11553010356647966</v>
      </c>
      <c r="Z81" s="25">
        <f t="shared" si="9"/>
        <v>1.5998591224993062E-3</v>
      </c>
      <c r="AA81" s="49">
        <f t="shared" si="10"/>
        <v>2010</v>
      </c>
      <c r="AB81" s="29">
        <f t="shared" si="11"/>
        <v>0.11079356804011815</v>
      </c>
      <c r="AC81" s="23">
        <f t="shared" si="12"/>
        <v>197</v>
      </c>
      <c r="AD81" s="23" t="str">
        <f t="shared" si="13"/>
        <v>No</v>
      </c>
    </row>
    <row r="82" spans="1:30" x14ac:dyDescent="0.3">
      <c r="A82" s="23">
        <v>81</v>
      </c>
      <c r="B82" s="21" t="s">
        <v>129</v>
      </c>
      <c r="C82" s="23" t="s">
        <v>404</v>
      </c>
      <c r="D82" s="23">
        <v>-1</v>
      </c>
      <c r="E82" s="23" t="s">
        <v>55</v>
      </c>
      <c r="F82" s="23" t="s">
        <v>42</v>
      </c>
      <c r="G82" s="25">
        <v>1.196</v>
      </c>
      <c r="H82" s="25">
        <v>0</v>
      </c>
      <c r="I82" s="25">
        <v>0</v>
      </c>
      <c r="J82" s="25">
        <v>0</v>
      </c>
      <c r="K82" s="25">
        <v>0</v>
      </c>
      <c r="L82" s="25">
        <v>0</v>
      </c>
      <c r="M82" s="25"/>
      <c r="N82" s="25">
        <v>0</v>
      </c>
      <c r="O82" s="25">
        <v>0</v>
      </c>
      <c r="P82" s="25">
        <v>7.5419661435269515E-5</v>
      </c>
      <c r="Q82" s="25">
        <v>0</v>
      </c>
      <c r="R82" s="25">
        <v>0</v>
      </c>
      <c r="S82" s="25"/>
      <c r="T82" s="25">
        <v>1.4139297701686154E-4</v>
      </c>
      <c r="U82" s="25">
        <v>0</v>
      </c>
      <c r="V82" s="25">
        <v>0</v>
      </c>
      <c r="W82" s="25">
        <v>0</v>
      </c>
      <c r="X82" s="25">
        <f t="shared" si="7"/>
        <v>2.1681263845213104E-4</v>
      </c>
      <c r="Y82" s="27">
        <f t="shared" si="8"/>
        <v>1.8128147027770155E-2</v>
      </c>
      <c r="Z82" s="25">
        <f t="shared" si="9"/>
        <v>1.4139297701686154E-4</v>
      </c>
      <c r="AA82" s="49">
        <f t="shared" si="10"/>
        <v>2022</v>
      </c>
      <c r="AB82" s="29">
        <f t="shared" si="11"/>
        <v>1.1822155268968357E-2</v>
      </c>
      <c r="AC82" s="23">
        <f t="shared" si="12"/>
        <v>227</v>
      </c>
      <c r="AD82" s="23" t="str">
        <f t="shared" si="13"/>
        <v>No</v>
      </c>
    </row>
    <row r="83" spans="1:30" x14ac:dyDescent="0.3">
      <c r="A83" s="23">
        <v>82</v>
      </c>
      <c r="B83" s="21" t="s">
        <v>130</v>
      </c>
      <c r="C83" s="23" t="s">
        <v>405</v>
      </c>
      <c r="D83" s="23">
        <v>-2</v>
      </c>
      <c r="E83" s="23" t="s">
        <v>44</v>
      </c>
      <c r="F83" s="23" t="s">
        <v>42</v>
      </c>
      <c r="G83" s="25">
        <v>2.35</v>
      </c>
      <c r="H83" s="25">
        <v>7.0074139005500177E-2</v>
      </c>
      <c r="I83" s="25">
        <v>0</v>
      </c>
      <c r="J83" s="25">
        <v>3.5191873409226538E-4</v>
      </c>
      <c r="K83" s="25">
        <v>9.9275954969692978E-5</v>
      </c>
      <c r="L83" s="25">
        <v>0</v>
      </c>
      <c r="M83" s="25"/>
      <c r="N83" s="25">
        <v>0</v>
      </c>
      <c r="O83" s="25">
        <v>0</v>
      </c>
      <c r="P83" s="25">
        <v>0</v>
      </c>
      <c r="Q83" s="25">
        <v>0</v>
      </c>
      <c r="R83" s="25">
        <v>0</v>
      </c>
      <c r="S83" s="25"/>
      <c r="T83" s="25">
        <v>0</v>
      </c>
      <c r="U83" s="25">
        <v>0</v>
      </c>
      <c r="V83" s="25">
        <v>0</v>
      </c>
      <c r="W83" s="25">
        <v>0</v>
      </c>
      <c r="X83" s="25">
        <f t="shared" si="7"/>
        <v>7.052533369456214E-2</v>
      </c>
      <c r="Y83" s="27">
        <f t="shared" si="8"/>
        <v>3.0010780295558357</v>
      </c>
      <c r="Z83" s="25">
        <f t="shared" si="9"/>
        <v>7.0074139005500177E-2</v>
      </c>
      <c r="AA83" s="49">
        <f t="shared" si="10"/>
        <v>2010</v>
      </c>
      <c r="AB83" s="29">
        <f t="shared" si="11"/>
        <v>2.9818782555531991</v>
      </c>
      <c r="AC83" s="23">
        <f t="shared" si="12"/>
        <v>88</v>
      </c>
      <c r="AD83" s="23" t="str">
        <f t="shared" si="13"/>
        <v>No</v>
      </c>
    </row>
    <row r="84" spans="1:30" x14ac:dyDescent="0.3">
      <c r="A84" s="23">
        <v>83</v>
      </c>
      <c r="B84" s="21" t="s">
        <v>131</v>
      </c>
      <c r="C84" s="23" t="s">
        <v>406</v>
      </c>
      <c r="D84" s="23">
        <v>-3</v>
      </c>
      <c r="E84" s="23" t="s">
        <v>41</v>
      </c>
      <c r="F84" s="23" t="s">
        <v>42</v>
      </c>
      <c r="G84" s="25">
        <v>0.86299999999999999</v>
      </c>
      <c r="H84" s="25">
        <v>6.1280998162797041E-3</v>
      </c>
      <c r="I84" s="25">
        <v>0</v>
      </c>
      <c r="J84" s="25">
        <v>0</v>
      </c>
      <c r="K84" s="25">
        <v>0</v>
      </c>
      <c r="L84" s="25">
        <v>0</v>
      </c>
      <c r="M84" s="25"/>
      <c r="N84" s="25">
        <v>0</v>
      </c>
      <c r="O84" s="25">
        <v>0</v>
      </c>
      <c r="P84" s="25">
        <v>0</v>
      </c>
      <c r="Q84" s="25">
        <v>0</v>
      </c>
      <c r="R84" s="25">
        <v>0</v>
      </c>
      <c r="S84" s="25"/>
      <c r="T84" s="25">
        <v>2.3609067101264372E-4</v>
      </c>
      <c r="U84" s="25">
        <v>0</v>
      </c>
      <c r="V84" s="25">
        <v>0</v>
      </c>
      <c r="W84" s="25">
        <v>2.2159937971166801E-4</v>
      </c>
      <c r="X84" s="25">
        <f t="shared" si="7"/>
        <v>6.5857898670040153E-3</v>
      </c>
      <c r="Y84" s="27">
        <f t="shared" si="8"/>
        <v>0.76312744692978163</v>
      </c>
      <c r="Z84" s="25">
        <f t="shared" si="9"/>
        <v>6.1280998162797041E-3</v>
      </c>
      <c r="AA84" s="49">
        <f t="shared" si="10"/>
        <v>2010</v>
      </c>
      <c r="AB84" s="29">
        <f t="shared" si="11"/>
        <v>0.71009267859556247</v>
      </c>
      <c r="AC84" s="23">
        <f t="shared" si="12"/>
        <v>157</v>
      </c>
      <c r="AD84" s="23" t="str">
        <f t="shared" si="13"/>
        <v>No</v>
      </c>
    </row>
    <row r="85" spans="1:30" x14ac:dyDescent="0.3">
      <c r="A85" s="23">
        <v>84</v>
      </c>
      <c r="B85" s="21" t="s">
        <v>132</v>
      </c>
      <c r="C85" s="23" t="s">
        <v>407</v>
      </c>
      <c r="D85" s="23">
        <v>-2</v>
      </c>
      <c r="E85" s="23" t="s">
        <v>44</v>
      </c>
      <c r="F85" s="23" t="s">
        <v>42</v>
      </c>
      <c r="G85" s="25">
        <v>1.9450000000000001</v>
      </c>
      <c r="H85" s="25">
        <v>7.0925210641564498E-2</v>
      </c>
      <c r="I85" s="25">
        <v>9.3804499399987977E-4</v>
      </c>
      <c r="J85" s="25">
        <v>1.0914166665140945E-2</v>
      </c>
      <c r="K85" s="25">
        <v>0</v>
      </c>
      <c r="L85" s="25">
        <v>0</v>
      </c>
      <c r="M85" s="25"/>
      <c r="N85" s="25">
        <v>0</v>
      </c>
      <c r="O85" s="25">
        <v>0</v>
      </c>
      <c r="P85" s="25">
        <v>7.1601121664178211E-4</v>
      </c>
      <c r="Q85" s="25">
        <v>0</v>
      </c>
      <c r="R85" s="25">
        <v>0</v>
      </c>
      <c r="S85" s="25"/>
      <c r="T85" s="25">
        <v>5.6021436929376794E-4</v>
      </c>
      <c r="U85" s="25">
        <v>8.5097400031751026E-5</v>
      </c>
      <c r="V85" s="25">
        <v>1.8475900007074232E-4</v>
      </c>
      <c r="W85" s="25">
        <v>0</v>
      </c>
      <c r="X85" s="25">
        <f t="shared" si="7"/>
        <v>8.4323504286743359E-2</v>
      </c>
      <c r="Y85" s="27">
        <f t="shared" si="8"/>
        <v>4.3353986779816642</v>
      </c>
      <c r="Z85" s="25">
        <f t="shared" si="9"/>
        <v>7.0925210641564498E-2</v>
      </c>
      <c r="AA85" s="49">
        <f t="shared" si="10"/>
        <v>2010</v>
      </c>
      <c r="AB85" s="29">
        <f t="shared" si="11"/>
        <v>3.6465403928824935</v>
      </c>
      <c r="AC85" s="23">
        <f t="shared" si="12"/>
        <v>74</v>
      </c>
      <c r="AD85" s="23" t="str">
        <f t="shared" si="13"/>
        <v>No</v>
      </c>
    </row>
    <row r="86" spans="1:30" x14ac:dyDescent="0.3">
      <c r="A86" s="23">
        <v>85</v>
      </c>
      <c r="B86" s="21" t="s">
        <v>133</v>
      </c>
      <c r="C86" s="23" t="s">
        <v>408</v>
      </c>
      <c r="D86" s="23">
        <v>-1</v>
      </c>
      <c r="E86" s="23" t="s">
        <v>55</v>
      </c>
      <c r="F86" s="23" t="s">
        <v>42</v>
      </c>
      <c r="G86" s="25">
        <v>2.9550000000000001</v>
      </c>
      <c r="H86" s="25">
        <v>0</v>
      </c>
      <c r="I86" s="25">
        <v>0</v>
      </c>
      <c r="J86" s="25">
        <v>0</v>
      </c>
      <c r="K86" s="25">
        <v>0</v>
      </c>
      <c r="L86" s="25">
        <v>0</v>
      </c>
      <c r="M86" s="25"/>
      <c r="N86" s="25">
        <v>0</v>
      </c>
      <c r="O86" s="25">
        <v>0</v>
      </c>
      <c r="P86" s="25">
        <v>0</v>
      </c>
      <c r="Q86" s="25">
        <v>0</v>
      </c>
      <c r="R86" s="25">
        <v>0</v>
      </c>
      <c r="S86" s="25"/>
      <c r="T86" s="25">
        <v>0</v>
      </c>
      <c r="U86" s="25">
        <v>0</v>
      </c>
      <c r="V86" s="25">
        <v>0</v>
      </c>
      <c r="W86" s="25">
        <v>0</v>
      </c>
      <c r="X86" s="25">
        <f t="shared" si="7"/>
        <v>0</v>
      </c>
      <c r="Y86" s="27">
        <f t="shared" si="8"/>
        <v>0</v>
      </c>
      <c r="Z86" s="25">
        <f t="shared" si="9"/>
        <v>0</v>
      </c>
      <c r="AA86" s="49">
        <f t="shared" si="10"/>
        <v>2010</v>
      </c>
      <c r="AB86" s="29">
        <f t="shared" si="11"/>
        <v>0</v>
      </c>
      <c r="AC86" s="23">
        <f t="shared" si="12"/>
        <v>232</v>
      </c>
      <c r="AD86" s="23" t="str">
        <f t="shared" si="13"/>
        <v>No</v>
      </c>
    </row>
    <row r="87" spans="1:30" x14ac:dyDescent="0.3">
      <c r="A87" s="23">
        <v>86</v>
      </c>
      <c r="B87" s="21" t="s">
        <v>134</v>
      </c>
      <c r="C87" s="23" t="s">
        <v>409</v>
      </c>
      <c r="D87" s="23">
        <v>-3</v>
      </c>
      <c r="E87" s="23" t="s">
        <v>41</v>
      </c>
      <c r="F87" s="23" t="s">
        <v>42</v>
      </c>
      <c r="G87" s="25">
        <v>2.5830000000000002</v>
      </c>
      <c r="H87" s="25">
        <v>2.5818979900005799E-3</v>
      </c>
      <c r="I87" s="25">
        <v>0</v>
      </c>
      <c r="J87" s="25">
        <v>1.1446597736021068E-3</v>
      </c>
      <c r="K87" s="25">
        <v>0</v>
      </c>
      <c r="L87" s="25">
        <v>6.9370694567007013E-4</v>
      </c>
      <c r="M87" s="25"/>
      <c r="N87" s="25">
        <v>0</v>
      </c>
      <c r="O87" s="25">
        <v>0</v>
      </c>
      <c r="P87" s="25">
        <v>0</v>
      </c>
      <c r="Q87" s="25">
        <v>0</v>
      </c>
      <c r="R87" s="25">
        <v>0</v>
      </c>
      <c r="S87" s="25"/>
      <c r="T87" s="25">
        <v>0</v>
      </c>
      <c r="U87" s="25">
        <v>0</v>
      </c>
      <c r="V87" s="25">
        <v>0</v>
      </c>
      <c r="W87" s="25">
        <v>0</v>
      </c>
      <c r="X87" s="25">
        <f t="shared" si="7"/>
        <v>4.420264709272757E-3</v>
      </c>
      <c r="Y87" s="27">
        <f t="shared" si="8"/>
        <v>0.17112910217858135</v>
      </c>
      <c r="Z87" s="25">
        <f t="shared" si="9"/>
        <v>2.5818979900005799E-3</v>
      </c>
      <c r="AA87" s="49">
        <f t="shared" si="10"/>
        <v>2010</v>
      </c>
      <c r="AB87" s="29">
        <f t="shared" si="11"/>
        <v>9.9957336043382874E-2</v>
      </c>
      <c r="AC87" s="23">
        <f t="shared" si="12"/>
        <v>200</v>
      </c>
      <c r="AD87" s="23" t="str">
        <f t="shared" si="13"/>
        <v>No</v>
      </c>
    </row>
    <row r="88" spans="1:30" x14ac:dyDescent="0.3">
      <c r="A88" s="23">
        <v>87</v>
      </c>
      <c r="B88" s="21" t="s">
        <v>135</v>
      </c>
      <c r="C88" s="23" t="s">
        <v>410</v>
      </c>
      <c r="D88" s="23">
        <v>-2</v>
      </c>
      <c r="E88" s="23" t="s">
        <v>44</v>
      </c>
      <c r="F88" s="23" t="s">
        <v>42</v>
      </c>
      <c r="G88" s="25">
        <v>2.7629999999999999</v>
      </c>
      <c r="H88" s="25">
        <v>0</v>
      </c>
      <c r="I88" s="25">
        <v>0</v>
      </c>
      <c r="J88" s="25">
        <v>1.8337928136234081E-3</v>
      </c>
      <c r="K88" s="25">
        <v>0</v>
      </c>
      <c r="L88" s="25">
        <v>0</v>
      </c>
      <c r="M88" s="25"/>
      <c r="N88" s="25">
        <v>1.648053163800214E-4</v>
      </c>
      <c r="O88" s="25">
        <v>0</v>
      </c>
      <c r="P88" s="25">
        <v>0</v>
      </c>
      <c r="Q88" s="25">
        <v>0</v>
      </c>
      <c r="R88" s="25">
        <v>0</v>
      </c>
      <c r="S88" s="25"/>
      <c r="T88" s="25">
        <v>1.2830898448628867E-3</v>
      </c>
      <c r="U88" s="25">
        <v>1.2718701302818954E-4</v>
      </c>
      <c r="V88" s="25">
        <v>0</v>
      </c>
      <c r="W88" s="25">
        <v>0</v>
      </c>
      <c r="X88" s="25">
        <f t="shared" si="7"/>
        <v>3.4088749878945059E-3</v>
      </c>
      <c r="Y88" s="27">
        <f t="shared" si="8"/>
        <v>0.12337585913479936</v>
      </c>
      <c r="Z88" s="25">
        <f t="shared" si="9"/>
        <v>1.8337928136234081E-3</v>
      </c>
      <c r="AA88" s="49">
        <f t="shared" si="10"/>
        <v>2012</v>
      </c>
      <c r="AB88" s="29">
        <f t="shared" si="11"/>
        <v>6.6369627709859144E-2</v>
      </c>
      <c r="AC88" s="23">
        <f t="shared" si="12"/>
        <v>208</v>
      </c>
      <c r="AD88" s="23" t="str">
        <f t="shared" si="13"/>
        <v>No</v>
      </c>
    </row>
    <row r="89" spans="1:30" x14ac:dyDescent="0.3">
      <c r="A89" s="23">
        <v>88</v>
      </c>
      <c r="B89" s="21" t="s">
        <v>136</v>
      </c>
      <c r="C89" s="23" t="s">
        <v>411</v>
      </c>
      <c r="D89" s="23">
        <v>-2</v>
      </c>
      <c r="E89" s="23" t="s">
        <v>44</v>
      </c>
      <c r="F89" s="23" t="s">
        <v>42</v>
      </c>
      <c r="G89" s="25">
        <v>1.3879999999999999</v>
      </c>
      <c r="H89" s="25">
        <v>0</v>
      </c>
      <c r="I89" s="25">
        <v>7.6672200238005583E-2</v>
      </c>
      <c r="J89" s="25">
        <v>1.0928304489972944E-3</v>
      </c>
      <c r="K89" s="25">
        <v>0</v>
      </c>
      <c r="L89" s="25">
        <v>0</v>
      </c>
      <c r="M89" s="25"/>
      <c r="N89" s="25">
        <v>0</v>
      </c>
      <c r="O89" s="25">
        <v>2.2757812811314944E-4</v>
      </c>
      <c r="P89" s="25">
        <v>0</v>
      </c>
      <c r="Q89" s="25">
        <v>0</v>
      </c>
      <c r="R89" s="25">
        <v>6.7460738268580484E-4</v>
      </c>
      <c r="S89" s="25"/>
      <c r="T89" s="25">
        <v>6.8296421347847946E-4</v>
      </c>
      <c r="U89" s="25">
        <v>0</v>
      </c>
      <c r="V89" s="25">
        <v>2.2567729008644892E-4</v>
      </c>
      <c r="W89" s="25">
        <v>0</v>
      </c>
      <c r="X89" s="25">
        <f t="shared" si="7"/>
        <v>7.957585770136677E-2</v>
      </c>
      <c r="Y89" s="27">
        <f t="shared" si="8"/>
        <v>5.7331309583117278</v>
      </c>
      <c r="Z89" s="25">
        <f t="shared" si="9"/>
        <v>7.6672200238005583E-2</v>
      </c>
      <c r="AA89" s="49">
        <f t="shared" si="10"/>
        <v>2011</v>
      </c>
      <c r="AB89" s="29">
        <f t="shared" si="11"/>
        <v>5.5239337347266275</v>
      </c>
      <c r="AC89" s="23">
        <f t="shared" si="12"/>
        <v>52</v>
      </c>
      <c r="AD89" s="23" t="str">
        <f t="shared" si="13"/>
        <v>No</v>
      </c>
    </row>
    <row r="90" spans="1:30" x14ac:dyDescent="0.3">
      <c r="A90" s="23">
        <v>89</v>
      </c>
      <c r="B90" s="21" t="s">
        <v>137</v>
      </c>
      <c r="C90" s="23" t="s">
        <v>412</v>
      </c>
      <c r="D90" s="23">
        <v>-3</v>
      </c>
      <c r="E90" s="23" t="s">
        <v>41</v>
      </c>
      <c r="F90" s="23" t="s">
        <v>42</v>
      </c>
      <c r="G90" s="25">
        <v>1.645</v>
      </c>
      <c r="H90" s="25">
        <v>1.796544768999921E-2</v>
      </c>
      <c r="I90" s="25">
        <v>0</v>
      </c>
      <c r="J90" s="25">
        <v>0</v>
      </c>
      <c r="K90" s="25">
        <v>0</v>
      </c>
      <c r="L90" s="25">
        <v>0</v>
      </c>
      <c r="M90" s="25"/>
      <c r="N90" s="25">
        <v>0</v>
      </c>
      <c r="O90" s="25">
        <v>0</v>
      </c>
      <c r="P90" s="25">
        <v>0</v>
      </c>
      <c r="Q90" s="25">
        <v>0</v>
      </c>
      <c r="R90" s="25">
        <v>1.0947053522381612E-3</v>
      </c>
      <c r="S90" s="25"/>
      <c r="T90" s="25">
        <v>5.3263017613127154E-4</v>
      </c>
      <c r="U90" s="25">
        <v>0</v>
      </c>
      <c r="V90" s="25">
        <v>0</v>
      </c>
      <c r="W90" s="25">
        <v>0</v>
      </c>
      <c r="X90" s="25">
        <f t="shared" si="7"/>
        <v>1.9592783218368642E-2</v>
      </c>
      <c r="Y90" s="27">
        <f t="shared" si="8"/>
        <v>1.1910506515725618</v>
      </c>
      <c r="Z90" s="25">
        <f t="shared" si="9"/>
        <v>1.796544768999921E-2</v>
      </c>
      <c r="AA90" s="49">
        <f t="shared" si="10"/>
        <v>2010</v>
      </c>
      <c r="AB90" s="29">
        <f t="shared" si="11"/>
        <v>1.0921244796352103</v>
      </c>
      <c r="AC90" s="23">
        <f t="shared" si="12"/>
        <v>141</v>
      </c>
      <c r="AD90" s="23" t="str">
        <f t="shared" si="13"/>
        <v>No</v>
      </c>
    </row>
    <row r="91" spans="1:30" x14ac:dyDescent="0.3">
      <c r="A91" s="23">
        <v>90</v>
      </c>
      <c r="B91" s="21" t="s">
        <v>138</v>
      </c>
      <c r="C91" s="23" t="s">
        <v>413</v>
      </c>
      <c r="D91" s="23">
        <v>-3</v>
      </c>
      <c r="E91" s="23" t="s">
        <v>41</v>
      </c>
      <c r="F91" s="23" t="s">
        <v>42</v>
      </c>
      <c r="G91" s="25">
        <v>2.0169999999999999</v>
      </c>
      <c r="H91" s="25">
        <v>0</v>
      </c>
      <c r="I91" s="25">
        <v>0</v>
      </c>
      <c r="J91" s="25">
        <v>0</v>
      </c>
      <c r="K91" s="25">
        <v>0</v>
      </c>
      <c r="L91" s="25">
        <v>0</v>
      </c>
      <c r="M91" s="25"/>
      <c r="N91" s="25">
        <v>0</v>
      </c>
      <c r="O91" s="25">
        <v>0</v>
      </c>
      <c r="P91" s="25">
        <v>0</v>
      </c>
      <c r="Q91" s="25">
        <v>0</v>
      </c>
      <c r="R91" s="25">
        <v>0</v>
      </c>
      <c r="S91" s="25"/>
      <c r="T91" s="25">
        <v>0</v>
      </c>
      <c r="U91" s="25">
        <v>0</v>
      </c>
      <c r="V91" s="25">
        <v>0</v>
      </c>
      <c r="W91" s="25">
        <v>0</v>
      </c>
      <c r="X91" s="25">
        <f t="shared" si="7"/>
        <v>0</v>
      </c>
      <c r="Y91" s="27">
        <f t="shared" si="8"/>
        <v>0</v>
      </c>
      <c r="Z91" s="25">
        <f t="shared" si="9"/>
        <v>0</v>
      </c>
      <c r="AA91" s="49">
        <f t="shared" si="10"/>
        <v>2010</v>
      </c>
      <c r="AB91" s="29">
        <f t="shared" si="11"/>
        <v>0</v>
      </c>
      <c r="AC91" s="23">
        <f t="shared" si="12"/>
        <v>232</v>
      </c>
      <c r="AD91" s="23" t="str">
        <f t="shared" si="13"/>
        <v>No</v>
      </c>
    </row>
    <row r="92" spans="1:30" x14ac:dyDescent="0.3">
      <c r="A92" s="23">
        <v>91</v>
      </c>
      <c r="B92" s="21" t="s">
        <v>139</v>
      </c>
      <c r="C92" s="23" t="s">
        <v>414</v>
      </c>
      <c r="D92" s="23">
        <v>-1</v>
      </c>
      <c r="E92" s="23" t="s">
        <v>55</v>
      </c>
      <c r="F92" s="23" t="s">
        <v>42</v>
      </c>
      <c r="G92" s="25">
        <v>1.772</v>
      </c>
      <c r="H92" s="25">
        <v>0</v>
      </c>
      <c r="I92" s="25">
        <v>0</v>
      </c>
      <c r="J92" s="25">
        <v>1.0422014084129478E-4</v>
      </c>
      <c r="K92" s="25">
        <v>0</v>
      </c>
      <c r="L92" s="25">
        <v>0</v>
      </c>
      <c r="M92" s="25"/>
      <c r="N92" s="25">
        <v>0</v>
      </c>
      <c r="O92" s="25">
        <v>0</v>
      </c>
      <c r="P92" s="25">
        <v>0</v>
      </c>
      <c r="Q92" s="25">
        <v>0</v>
      </c>
      <c r="R92" s="25">
        <v>0</v>
      </c>
      <c r="S92" s="25"/>
      <c r="T92" s="25">
        <v>3.9035690936565518E-5</v>
      </c>
      <c r="U92" s="25">
        <v>0</v>
      </c>
      <c r="V92" s="25">
        <v>0</v>
      </c>
      <c r="W92" s="25">
        <v>0</v>
      </c>
      <c r="X92" s="25">
        <f t="shared" si="7"/>
        <v>1.432558317778603E-4</v>
      </c>
      <c r="Y92" s="27">
        <f t="shared" si="8"/>
        <v>8.0844148858837638E-3</v>
      </c>
      <c r="Z92" s="25">
        <f t="shared" si="9"/>
        <v>1.0422014084129478E-4</v>
      </c>
      <c r="AA92" s="49">
        <f t="shared" si="10"/>
        <v>2012</v>
      </c>
      <c r="AB92" s="29">
        <f t="shared" si="11"/>
        <v>5.881497790140789E-3</v>
      </c>
      <c r="AC92" s="23">
        <f t="shared" si="12"/>
        <v>230</v>
      </c>
      <c r="AD92" s="23" t="str">
        <f t="shared" si="13"/>
        <v>No</v>
      </c>
    </row>
    <row r="93" spans="1:30" x14ac:dyDescent="0.3">
      <c r="A93" s="23">
        <v>92</v>
      </c>
      <c r="B93" s="21" t="s">
        <v>140</v>
      </c>
      <c r="C93" s="23" t="s">
        <v>415</v>
      </c>
      <c r="D93" s="23">
        <v>-2</v>
      </c>
      <c r="E93" s="23" t="s">
        <v>44</v>
      </c>
      <c r="F93" s="23" t="s">
        <v>42</v>
      </c>
      <c r="G93" s="25">
        <v>2.1709999999999998</v>
      </c>
      <c r="H93" s="25">
        <v>6.928028980004601E-3</v>
      </c>
      <c r="I93" s="25">
        <v>0</v>
      </c>
      <c r="J93" s="25">
        <v>0</v>
      </c>
      <c r="K93" s="25">
        <v>0</v>
      </c>
      <c r="L93" s="25">
        <v>0</v>
      </c>
      <c r="M93" s="25"/>
      <c r="N93" s="25">
        <v>0</v>
      </c>
      <c r="O93" s="25">
        <v>0</v>
      </c>
      <c r="P93" s="25">
        <v>0</v>
      </c>
      <c r="Q93" s="25">
        <v>0</v>
      </c>
      <c r="R93" s="25">
        <v>0</v>
      </c>
      <c r="S93" s="25"/>
      <c r="T93" s="25">
        <v>8.152802848816282E-5</v>
      </c>
      <c r="U93" s="25">
        <v>0</v>
      </c>
      <c r="V93" s="25">
        <v>2.8351488028171376E-5</v>
      </c>
      <c r="W93" s="25">
        <v>0</v>
      </c>
      <c r="X93" s="25">
        <f t="shared" si="7"/>
        <v>7.0379084965209353E-3</v>
      </c>
      <c r="Y93" s="27">
        <f t="shared" si="8"/>
        <v>0.32417818961404588</v>
      </c>
      <c r="Z93" s="25">
        <f t="shared" si="9"/>
        <v>6.928028980004601E-3</v>
      </c>
      <c r="AA93" s="49">
        <f t="shared" si="10"/>
        <v>2010</v>
      </c>
      <c r="AB93" s="29">
        <f t="shared" si="11"/>
        <v>0.3191169497929342</v>
      </c>
      <c r="AC93" s="23">
        <f t="shared" si="12"/>
        <v>175</v>
      </c>
      <c r="AD93" s="23" t="str">
        <f t="shared" si="13"/>
        <v>No</v>
      </c>
    </row>
    <row r="94" spans="1:30" x14ac:dyDescent="0.3">
      <c r="A94" s="23">
        <v>93</v>
      </c>
      <c r="B94" s="21" t="s">
        <v>141</v>
      </c>
      <c r="C94" s="23" t="s">
        <v>416</v>
      </c>
      <c r="D94" s="23">
        <v>-1</v>
      </c>
      <c r="E94" s="23" t="s">
        <v>55</v>
      </c>
      <c r="F94" s="23" t="s">
        <v>42</v>
      </c>
      <c r="G94" s="25">
        <v>1.873</v>
      </c>
      <c r="H94" s="25">
        <v>1.8491982379995286E-2</v>
      </c>
      <c r="I94" s="25">
        <v>0</v>
      </c>
      <c r="J94" s="25">
        <v>0</v>
      </c>
      <c r="K94" s="25">
        <v>0</v>
      </c>
      <c r="L94" s="25">
        <v>0</v>
      </c>
      <c r="M94" s="25"/>
      <c r="N94" s="25">
        <v>0</v>
      </c>
      <c r="O94" s="25">
        <v>0</v>
      </c>
      <c r="P94" s="25">
        <v>0</v>
      </c>
      <c r="Q94" s="25">
        <v>0</v>
      </c>
      <c r="R94" s="25">
        <v>0</v>
      </c>
      <c r="S94" s="25"/>
      <c r="T94" s="25">
        <v>5.7423259407258598E-4</v>
      </c>
      <c r="U94" s="25">
        <v>0</v>
      </c>
      <c r="V94" s="25">
        <v>0</v>
      </c>
      <c r="W94" s="25">
        <v>0</v>
      </c>
      <c r="X94" s="25">
        <f t="shared" si="7"/>
        <v>1.9066214974067873E-2</v>
      </c>
      <c r="Y94" s="27">
        <f t="shared" si="8"/>
        <v>1.0179506126037305</v>
      </c>
      <c r="Z94" s="25">
        <f t="shared" si="9"/>
        <v>1.8491982379995286E-2</v>
      </c>
      <c r="AA94" s="49">
        <f t="shared" si="10"/>
        <v>2010</v>
      </c>
      <c r="AB94" s="29">
        <f t="shared" si="11"/>
        <v>0.98729217191645935</v>
      </c>
      <c r="AC94" s="23">
        <f t="shared" si="12"/>
        <v>146</v>
      </c>
      <c r="AD94" s="23" t="str">
        <f t="shared" si="13"/>
        <v>No</v>
      </c>
    </row>
    <row r="95" spans="1:30" x14ac:dyDescent="0.3">
      <c r="A95" s="23">
        <v>94</v>
      </c>
      <c r="B95" s="21" t="s">
        <v>142</v>
      </c>
      <c r="C95" s="23" t="s">
        <v>417</v>
      </c>
      <c r="D95" s="23">
        <v>-2</v>
      </c>
      <c r="E95" s="23" t="s">
        <v>44</v>
      </c>
      <c r="F95" s="23" t="s">
        <v>42</v>
      </c>
      <c r="G95" s="25">
        <v>3.069</v>
      </c>
      <c r="H95" s="25">
        <v>0</v>
      </c>
      <c r="I95" s="25">
        <v>3.6055331016468699E-6</v>
      </c>
      <c r="J95" s="25">
        <v>3.4721950646160986E-4</v>
      </c>
      <c r="K95" s="25">
        <v>0</v>
      </c>
      <c r="L95" s="25">
        <v>0</v>
      </c>
      <c r="M95" s="25"/>
      <c r="N95" s="25">
        <v>3.336598303502542E-4</v>
      </c>
      <c r="O95" s="25">
        <v>0</v>
      </c>
      <c r="P95" s="25">
        <v>0</v>
      </c>
      <c r="Q95" s="25">
        <v>0</v>
      </c>
      <c r="R95" s="25">
        <v>4.7663062907451785E-3</v>
      </c>
      <c r="S95" s="25"/>
      <c r="T95" s="25">
        <v>1.6173441310584021E-3</v>
      </c>
      <c r="U95" s="25">
        <v>0</v>
      </c>
      <c r="V95" s="25">
        <v>1.7080945719475254E-2</v>
      </c>
      <c r="W95" s="25">
        <v>0</v>
      </c>
      <c r="X95" s="25">
        <f t="shared" si="7"/>
        <v>2.4149081011192345E-2</v>
      </c>
      <c r="Y95" s="27">
        <f t="shared" si="8"/>
        <v>0.78687132652956482</v>
      </c>
      <c r="Z95" s="25">
        <f t="shared" si="9"/>
        <v>1.7080945719475254E-2</v>
      </c>
      <c r="AA95" s="49">
        <f t="shared" si="10"/>
        <v>2024</v>
      </c>
      <c r="AB95" s="29">
        <f t="shared" si="11"/>
        <v>0.55656388789427347</v>
      </c>
      <c r="AC95" s="23">
        <f t="shared" si="12"/>
        <v>166</v>
      </c>
      <c r="AD95" s="23" t="str">
        <f t="shared" si="13"/>
        <v>No</v>
      </c>
    </row>
    <row r="96" spans="1:30" x14ac:dyDescent="0.3">
      <c r="A96" s="23">
        <v>95</v>
      </c>
      <c r="B96" s="21" t="s">
        <v>143</v>
      </c>
      <c r="C96" s="23" t="s">
        <v>418</v>
      </c>
      <c r="D96" s="23">
        <v>-3</v>
      </c>
      <c r="E96" s="23" t="s">
        <v>41</v>
      </c>
      <c r="F96" s="23" t="s">
        <v>42</v>
      </c>
      <c r="G96" s="25">
        <v>2.3889999999999998</v>
      </c>
      <c r="H96" s="25">
        <v>7.3111111140920615E-2</v>
      </c>
      <c r="I96" s="25">
        <v>1.1157785074991989E-3</v>
      </c>
      <c r="J96" s="25">
        <v>1.1233083143440744E-3</v>
      </c>
      <c r="K96" s="25">
        <v>0</v>
      </c>
      <c r="L96" s="25">
        <v>0</v>
      </c>
      <c r="M96" s="25"/>
      <c r="N96" s="25">
        <v>0</v>
      </c>
      <c r="O96" s="25">
        <v>0</v>
      </c>
      <c r="P96" s="25">
        <v>0</v>
      </c>
      <c r="Q96" s="25">
        <v>0</v>
      </c>
      <c r="R96" s="25">
        <v>0</v>
      </c>
      <c r="S96" s="25"/>
      <c r="T96" s="25">
        <v>0</v>
      </c>
      <c r="U96" s="25">
        <v>0</v>
      </c>
      <c r="V96" s="25">
        <v>0</v>
      </c>
      <c r="W96" s="25">
        <v>0</v>
      </c>
      <c r="X96" s="25">
        <f t="shared" si="7"/>
        <v>7.5350197962763876E-2</v>
      </c>
      <c r="Y96" s="27">
        <f t="shared" si="8"/>
        <v>3.1540476334350727</v>
      </c>
      <c r="Z96" s="25">
        <f t="shared" si="9"/>
        <v>7.3111111140920615E-2</v>
      </c>
      <c r="AA96" s="49">
        <f t="shared" si="10"/>
        <v>2010</v>
      </c>
      <c r="AB96" s="29">
        <f t="shared" si="11"/>
        <v>3.060322776932634</v>
      </c>
      <c r="AC96" s="23">
        <f t="shared" si="12"/>
        <v>84</v>
      </c>
      <c r="AD96" s="23" t="str">
        <f t="shared" si="13"/>
        <v>No</v>
      </c>
    </row>
    <row r="97" spans="1:30" x14ac:dyDescent="0.3">
      <c r="A97" s="23">
        <v>96</v>
      </c>
      <c r="B97" s="21" t="s">
        <v>144</v>
      </c>
      <c r="C97" s="23" t="s">
        <v>419</v>
      </c>
      <c r="D97" s="23">
        <v>-2</v>
      </c>
      <c r="E97" s="23" t="s">
        <v>44</v>
      </c>
      <c r="F97" s="23" t="s">
        <v>42</v>
      </c>
      <c r="G97" s="25">
        <v>3.274</v>
      </c>
      <c r="H97" s="25">
        <v>0.2727827298598719</v>
      </c>
      <c r="I97" s="25">
        <v>0</v>
      </c>
      <c r="J97" s="25">
        <v>0</v>
      </c>
      <c r="K97" s="25">
        <v>0</v>
      </c>
      <c r="L97" s="25">
        <v>0</v>
      </c>
      <c r="M97" s="25"/>
      <c r="N97" s="25">
        <v>0</v>
      </c>
      <c r="O97" s="25">
        <v>0</v>
      </c>
      <c r="P97" s="25">
        <v>0</v>
      </c>
      <c r="Q97" s="25">
        <v>0</v>
      </c>
      <c r="R97" s="25">
        <v>0</v>
      </c>
      <c r="S97" s="25"/>
      <c r="T97" s="25">
        <v>0</v>
      </c>
      <c r="U97" s="25">
        <v>0</v>
      </c>
      <c r="V97" s="25">
        <v>0</v>
      </c>
      <c r="W97" s="25">
        <v>4.196632963432553E-3</v>
      </c>
      <c r="X97" s="25">
        <f t="shared" si="7"/>
        <v>0.27697936282330443</v>
      </c>
      <c r="Y97" s="27">
        <f t="shared" si="8"/>
        <v>8.4599683208095424</v>
      </c>
      <c r="Z97" s="25">
        <f t="shared" si="9"/>
        <v>0.2727827298598719</v>
      </c>
      <c r="AA97" s="49">
        <f t="shared" si="10"/>
        <v>2010</v>
      </c>
      <c r="AB97" s="29">
        <f t="shared" si="11"/>
        <v>8.3317877171616352</v>
      </c>
      <c r="AC97" s="23">
        <f t="shared" si="12"/>
        <v>37</v>
      </c>
      <c r="AD97" s="23" t="str">
        <f t="shared" si="13"/>
        <v>No</v>
      </c>
    </row>
    <row r="98" spans="1:30" x14ac:dyDescent="0.3">
      <c r="A98" s="23">
        <v>97</v>
      </c>
      <c r="B98" s="21" t="s">
        <v>145</v>
      </c>
      <c r="C98" s="23" t="s">
        <v>420</v>
      </c>
      <c r="D98" s="23">
        <v>-3</v>
      </c>
      <c r="E98" s="23" t="s">
        <v>41</v>
      </c>
      <c r="F98" s="23" t="s">
        <v>42</v>
      </c>
      <c r="G98" s="25">
        <v>2.7719999999999998</v>
      </c>
      <c r="H98" s="25">
        <v>0</v>
      </c>
      <c r="I98" s="25">
        <v>3.3712357543987874E-2</v>
      </c>
      <c r="J98" s="25">
        <v>7.2035205314622001E-4</v>
      </c>
      <c r="K98" s="25">
        <v>0</v>
      </c>
      <c r="L98" s="25">
        <v>0</v>
      </c>
      <c r="M98" s="25"/>
      <c r="N98" s="25">
        <v>3.9789785425673472E-4</v>
      </c>
      <c r="O98" s="25">
        <v>1.8445573286382568E-4</v>
      </c>
      <c r="P98" s="25">
        <v>9.7492792240800913E-4</v>
      </c>
      <c r="Q98" s="25">
        <v>0</v>
      </c>
      <c r="R98" s="25">
        <v>3.7469382434012367E-4</v>
      </c>
      <c r="S98" s="25"/>
      <c r="T98" s="25">
        <v>2.4075109117154699E-3</v>
      </c>
      <c r="U98" s="25">
        <v>0</v>
      </c>
      <c r="V98" s="25">
        <v>9.2789883584366547E-4</v>
      </c>
      <c r="W98" s="25">
        <v>0</v>
      </c>
      <c r="X98" s="25">
        <f t="shared" si="7"/>
        <v>3.9700094678561927E-2</v>
      </c>
      <c r="Y98" s="27">
        <f t="shared" si="8"/>
        <v>1.4321823477114695</v>
      </c>
      <c r="Z98" s="25">
        <f t="shared" si="9"/>
        <v>3.3712357543987874E-2</v>
      </c>
      <c r="AA98" s="49">
        <f t="shared" si="10"/>
        <v>2011</v>
      </c>
      <c r="AB98" s="29">
        <f t="shared" si="11"/>
        <v>1.2161745145738772</v>
      </c>
      <c r="AC98" s="23">
        <f t="shared" si="12"/>
        <v>137</v>
      </c>
      <c r="AD98" s="23" t="str">
        <f t="shared" si="13"/>
        <v>No</v>
      </c>
    </row>
    <row r="99" spans="1:30" x14ac:dyDescent="0.3">
      <c r="A99" s="23">
        <v>98</v>
      </c>
      <c r="B99" s="21" t="s">
        <v>146</v>
      </c>
      <c r="C99" s="23" t="s">
        <v>421</v>
      </c>
      <c r="D99" s="23">
        <v>-3</v>
      </c>
      <c r="E99" s="23" t="s">
        <v>41</v>
      </c>
      <c r="F99" s="23" t="s">
        <v>42</v>
      </c>
      <c r="G99" s="25">
        <v>1.129</v>
      </c>
      <c r="H99" s="25">
        <v>0</v>
      </c>
      <c r="I99" s="25">
        <v>0</v>
      </c>
      <c r="J99" s="25">
        <v>0</v>
      </c>
      <c r="K99" s="25">
        <v>0</v>
      </c>
      <c r="L99" s="25">
        <v>0</v>
      </c>
      <c r="M99" s="25"/>
      <c r="N99" s="25">
        <v>0</v>
      </c>
      <c r="O99" s="25">
        <v>0</v>
      </c>
      <c r="P99" s="25">
        <v>0</v>
      </c>
      <c r="Q99" s="25">
        <v>0</v>
      </c>
      <c r="R99" s="25">
        <v>0</v>
      </c>
      <c r="S99" s="25"/>
      <c r="T99" s="25">
        <v>0</v>
      </c>
      <c r="U99" s="25">
        <v>0</v>
      </c>
      <c r="V99" s="25">
        <v>0</v>
      </c>
      <c r="W99" s="25">
        <v>0</v>
      </c>
      <c r="X99" s="25">
        <f t="shared" si="7"/>
        <v>0</v>
      </c>
      <c r="Y99" s="27">
        <f t="shared" si="8"/>
        <v>0</v>
      </c>
      <c r="Z99" s="25">
        <f t="shared" si="9"/>
        <v>0</v>
      </c>
      <c r="AA99" s="49">
        <f t="shared" si="10"/>
        <v>2010</v>
      </c>
      <c r="AB99" s="29">
        <f t="shared" si="11"/>
        <v>0</v>
      </c>
      <c r="AC99" s="23">
        <f t="shared" si="12"/>
        <v>232</v>
      </c>
      <c r="AD99" s="23" t="str">
        <f t="shared" si="13"/>
        <v>No</v>
      </c>
    </row>
    <row r="100" spans="1:30" x14ac:dyDescent="0.3">
      <c r="A100" s="23">
        <v>99</v>
      </c>
      <c r="B100" s="21" t="s">
        <v>147</v>
      </c>
      <c r="C100" s="23" t="s">
        <v>422</v>
      </c>
      <c r="D100" s="23">
        <v>-3</v>
      </c>
      <c r="E100" s="23" t="s">
        <v>41</v>
      </c>
      <c r="F100" s="23" t="s">
        <v>42</v>
      </c>
      <c r="G100" s="25">
        <v>2.496</v>
      </c>
      <c r="H100" s="25">
        <v>2.2552887410002731E-3</v>
      </c>
      <c r="I100" s="25">
        <v>0</v>
      </c>
      <c r="J100" s="25">
        <v>3.9896849212169242E-3</v>
      </c>
      <c r="K100" s="25">
        <v>0</v>
      </c>
      <c r="L100" s="25">
        <v>0</v>
      </c>
      <c r="M100" s="25"/>
      <c r="N100" s="25">
        <v>0</v>
      </c>
      <c r="O100" s="25">
        <v>0</v>
      </c>
      <c r="P100" s="25">
        <v>0</v>
      </c>
      <c r="Q100" s="25">
        <v>0</v>
      </c>
      <c r="R100" s="25">
        <v>0</v>
      </c>
      <c r="S100" s="25"/>
      <c r="T100" s="25">
        <v>0</v>
      </c>
      <c r="U100" s="25">
        <v>0</v>
      </c>
      <c r="V100" s="25">
        <v>0</v>
      </c>
      <c r="W100" s="25">
        <v>0</v>
      </c>
      <c r="X100" s="25">
        <f t="shared" si="7"/>
        <v>6.2449736622171969E-3</v>
      </c>
      <c r="Y100" s="27">
        <f t="shared" si="8"/>
        <v>0.25019926531318898</v>
      </c>
      <c r="Z100" s="25">
        <f t="shared" si="9"/>
        <v>3.9896849212169242E-3</v>
      </c>
      <c r="AA100" s="49">
        <f t="shared" si="10"/>
        <v>2012</v>
      </c>
      <c r="AB100" s="29">
        <f t="shared" si="11"/>
        <v>0.15984314588208831</v>
      </c>
      <c r="AC100" s="23">
        <f t="shared" si="12"/>
        <v>192</v>
      </c>
      <c r="AD100" s="23" t="str">
        <f t="shared" si="13"/>
        <v>No</v>
      </c>
    </row>
    <row r="101" spans="1:30" x14ac:dyDescent="0.3">
      <c r="A101" s="23">
        <v>100</v>
      </c>
      <c r="B101" s="21" t="s">
        <v>148</v>
      </c>
      <c r="C101" s="23" t="s">
        <v>423</v>
      </c>
      <c r="D101" s="23">
        <v>-2</v>
      </c>
      <c r="E101" s="23" t="s">
        <v>44</v>
      </c>
      <c r="F101" s="23" t="s">
        <v>42</v>
      </c>
      <c r="G101" s="25">
        <v>2.06</v>
      </c>
      <c r="H101" s="25">
        <v>0.13170509058359936</v>
      </c>
      <c r="I101" s="25">
        <v>4.0090648200025316E-4</v>
      </c>
      <c r="J101" s="25">
        <v>0</v>
      </c>
      <c r="K101" s="25">
        <v>0</v>
      </c>
      <c r="L101" s="25">
        <v>0</v>
      </c>
      <c r="M101" s="25"/>
      <c r="N101" s="25">
        <v>0</v>
      </c>
      <c r="O101" s="25">
        <v>0</v>
      </c>
      <c r="P101" s="25">
        <v>0</v>
      </c>
      <c r="Q101" s="25">
        <v>0</v>
      </c>
      <c r="R101" s="25">
        <v>0</v>
      </c>
      <c r="S101" s="25"/>
      <c r="T101" s="25">
        <v>0</v>
      </c>
      <c r="U101" s="25">
        <v>0</v>
      </c>
      <c r="V101" s="25">
        <v>0</v>
      </c>
      <c r="W101" s="25">
        <v>2.2296790010272526E-4</v>
      </c>
      <c r="X101" s="25">
        <f t="shared" si="7"/>
        <v>0.13232896496570234</v>
      </c>
      <c r="Y101" s="27">
        <f t="shared" si="8"/>
        <v>6.4237361633836088</v>
      </c>
      <c r="Z101" s="25">
        <f t="shared" si="9"/>
        <v>0.13170509058359936</v>
      </c>
      <c r="AA101" s="49">
        <f t="shared" si="10"/>
        <v>2010</v>
      </c>
      <c r="AB101" s="29">
        <f t="shared" si="11"/>
        <v>6.3934509992038517</v>
      </c>
      <c r="AC101" s="23">
        <f t="shared" si="12"/>
        <v>47</v>
      </c>
      <c r="AD101" s="23" t="str">
        <f t="shared" si="13"/>
        <v>No</v>
      </c>
    </row>
    <row r="102" spans="1:30" x14ac:dyDescent="0.3">
      <c r="A102" s="23">
        <v>101</v>
      </c>
      <c r="B102" s="21" t="s">
        <v>149</v>
      </c>
      <c r="C102" s="23" t="s">
        <v>424</v>
      </c>
      <c r="D102" s="23">
        <v>-3</v>
      </c>
      <c r="E102" s="23" t="s">
        <v>41</v>
      </c>
      <c r="F102" s="23" t="s">
        <v>42</v>
      </c>
      <c r="G102" s="25">
        <v>1.994</v>
      </c>
      <c r="H102" s="25">
        <v>0.18631937009510491</v>
      </c>
      <c r="I102" s="25">
        <v>0</v>
      </c>
      <c r="J102" s="25">
        <v>0</v>
      </c>
      <c r="K102" s="25">
        <v>0</v>
      </c>
      <c r="L102" s="25">
        <v>0</v>
      </c>
      <c r="M102" s="25"/>
      <c r="N102" s="25">
        <v>0</v>
      </c>
      <c r="O102" s="25">
        <v>0</v>
      </c>
      <c r="P102" s="25">
        <v>0</v>
      </c>
      <c r="Q102" s="25">
        <v>0</v>
      </c>
      <c r="R102" s="25">
        <v>0</v>
      </c>
      <c r="S102" s="25"/>
      <c r="T102" s="25">
        <v>0</v>
      </c>
      <c r="U102" s="25">
        <v>0</v>
      </c>
      <c r="V102" s="25">
        <v>0</v>
      </c>
      <c r="W102" s="25">
        <v>0</v>
      </c>
      <c r="X102" s="25">
        <f t="shared" si="7"/>
        <v>0.18631937009510491</v>
      </c>
      <c r="Y102" s="27">
        <f t="shared" si="8"/>
        <v>9.3440005062740674</v>
      </c>
      <c r="Z102" s="25">
        <f t="shared" si="9"/>
        <v>0.18631937009510491</v>
      </c>
      <c r="AA102" s="49">
        <f t="shared" si="10"/>
        <v>2010</v>
      </c>
      <c r="AB102" s="29">
        <f t="shared" si="11"/>
        <v>9.3440005062740674</v>
      </c>
      <c r="AC102" s="23">
        <f t="shared" si="12"/>
        <v>30</v>
      </c>
      <c r="AD102" s="23" t="str">
        <f t="shared" si="13"/>
        <v>No</v>
      </c>
    </row>
    <row r="103" spans="1:30" x14ac:dyDescent="0.3">
      <c r="A103" s="23">
        <v>102</v>
      </c>
      <c r="B103" s="21" t="s">
        <v>150</v>
      </c>
      <c r="C103" s="23" t="s">
        <v>425</v>
      </c>
      <c r="D103" s="23">
        <v>-2</v>
      </c>
      <c r="E103" s="23" t="s">
        <v>44</v>
      </c>
      <c r="F103" s="23" t="s">
        <v>42</v>
      </c>
      <c r="G103" s="25">
        <v>1.2390000000000001</v>
      </c>
      <c r="H103" s="25">
        <v>0</v>
      </c>
      <c r="I103" s="25">
        <v>0</v>
      </c>
      <c r="J103" s="25">
        <v>2.833704521062755E-4</v>
      </c>
      <c r="K103" s="25">
        <v>0</v>
      </c>
      <c r="L103" s="25">
        <v>0</v>
      </c>
      <c r="M103" s="25"/>
      <c r="N103" s="25">
        <v>0</v>
      </c>
      <c r="O103" s="25">
        <v>0</v>
      </c>
      <c r="P103" s="25">
        <v>0</v>
      </c>
      <c r="Q103" s="25">
        <v>0</v>
      </c>
      <c r="R103" s="25">
        <v>0</v>
      </c>
      <c r="S103" s="25"/>
      <c r="T103" s="25">
        <v>7.4607352806482365E-5</v>
      </c>
      <c r="U103" s="25">
        <v>1.0867085004187538E-4</v>
      </c>
      <c r="V103" s="25">
        <v>0</v>
      </c>
      <c r="W103" s="25">
        <v>0</v>
      </c>
      <c r="X103" s="25">
        <f t="shared" si="7"/>
        <v>4.6664865495463323E-4</v>
      </c>
      <c r="Y103" s="27">
        <f t="shared" si="8"/>
        <v>3.766332969771051E-2</v>
      </c>
      <c r="Z103" s="25">
        <f t="shared" si="9"/>
        <v>2.833704521062755E-4</v>
      </c>
      <c r="AA103" s="49">
        <f t="shared" si="10"/>
        <v>2012</v>
      </c>
      <c r="AB103" s="29">
        <f t="shared" si="11"/>
        <v>2.2870900089287771E-2</v>
      </c>
      <c r="AC103" s="23">
        <f t="shared" si="12"/>
        <v>219</v>
      </c>
      <c r="AD103" s="23" t="str">
        <f t="shared" si="13"/>
        <v>No</v>
      </c>
    </row>
    <row r="104" spans="1:30" x14ac:dyDescent="0.3">
      <c r="A104" s="23">
        <v>103</v>
      </c>
      <c r="B104" s="21" t="s">
        <v>151</v>
      </c>
      <c r="C104" s="23" t="s">
        <v>426</v>
      </c>
      <c r="D104" s="23">
        <v>-3</v>
      </c>
      <c r="E104" s="23" t="s">
        <v>41</v>
      </c>
      <c r="F104" s="23" t="s">
        <v>42</v>
      </c>
      <c r="G104" s="25">
        <v>4.59</v>
      </c>
      <c r="H104" s="25">
        <v>0.12058931146613064</v>
      </c>
      <c r="I104" s="25">
        <v>0</v>
      </c>
      <c r="J104" s="25">
        <v>0</v>
      </c>
      <c r="K104" s="25">
        <v>0</v>
      </c>
      <c r="L104" s="25">
        <v>0</v>
      </c>
      <c r="M104" s="25"/>
      <c r="N104" s="25">
        <v>0</v>
      </c>
      <c r="O104" s="25">
        <v>0</v>
      </c>
      <c r="P104" s="25">
        <v>0</v>
      </c>
      <c r="Q104" s="25">
        <v>0</v>
      </c>
      <c r="R104" s="25">
        <v>0</v>
      </c>
      <c r="S104" s="25"/>
      <c r="T104" s="25">
        <v>0</v>
      </c>
      <c r="U104" s="25">
        <v>0</v>
      </c>
      <c r="V104" s="25">
        <v>0</v>
      </c>
      <c r="W104" s="25">
        <v>0</v>
      </c>
      <c r="X104" s="25">
        <f t="shared" si="7"/>
        <v>0.12058931146613064</v>
      </c>
      <c r="Y104" s="27">
        <f t="shared" si="8"/>
        <v>2.6272181147305149</v>
      </c>
      <c r="Z104" s="25">
        <f t="shared" si="9"/>
        <v>0.12058931146613064</v>
      </c>
      <c r="AA104" s="49">
        <f t="shared" si="10"/>
        <v>2010</v>
      </c>
      <c r="AB104" s="29">
        <f t="shared" si="11"/>
        <v>2.6272181147305149</v>
      </c>
      <c r="AC104" s="23">
        <f t="shared" si="12"/>
        <v>96</v>
      </c>
      <c r="AD104" s="23" t="str">
        <f t="shared" si="13"/>
        <v>No</v>
      </c>
    </row>
    <row r="105" spans="1:30" x14ac:dyDescent="0.3">
      <c r="A105" s="23">
        <v>104</v>
      </c>
      <c r="B105" s="21" t="s">
        <v>152</v>
      </c>
      <c r="C105" s="23" t="s">
        <v>427</v>
      </c>
      <c r="D105" s="23">
        <v>-3</v>
      </c>
      <c r="E105" s="23" t="s">
        <v>41</v>
      </c>
      <c r="F105" s="23" t="s">
        <v>42</v>
      </c>
      <c r="G105" s="25">
        <v>4.41</v>
      </c>
      <c r="H105" s="25">
        <v>8.2664408190052888E-3</v>
      </c>
      <c r="I105" s="25">
        <v>0</v>
      </c>
      <c r="J105" s="25">
        <v>0</v>
      </c>
      <c r="K105" s="25">
        <v>0</v>
      </c>
      <c r="L105" s="25">
        <v>0</v>
      </c>
      <c r="M105" s="25"/>
      <c r="N105" s="25">
        <v>0</v>
      </c>
      <c r="O105" s="25">
        <v>0</v>
      </c>
      <c r="P105" s="25">
        <v>0</v>
      </c>
      <c r="Q105" s="25">
        <v>0</v>
      </c>
      <c r="R105" s="25">
        <v>0</v>
      </c>
      <c r="S105" s="25"/>
      <c r="T105" s="25">
        <v>6.2288679415349541E-3</v>
      </c>
      <c r="U105" s="25">
        <v>7.5898860054439868E-5</v>
      </c>
      <c r="V105" s="25">
        <v>0</v>
      </c>
      <c r="W105" s="25">
        <v>0</v>
      </c>
      <c r="X105" s="25">
        <f t="shared" si="7"/>
        <v>1.4571207620594684E-2</v>
      </c>
      <c r="Y105" s="27">
        <f t="shared" si="8"/>
        <v>0.330412871215299</v>
      </c>
      <c r="Z105" s="25">
        <f t="shared" si="9"/>
        <v>8.2664408190052888E-3</v>
      </c>
      <c r="AA105" s="49">
        <f t="shared" si="10"/>
        <v>2010</v>
      </c>
      <c r="AB105" s="29">
        <f t="shared" si="11"/>
        <v>0.18744763761916755</v>
      </c>
      <c r="AC105" s="23">
        <f t="shared" si="12"/>
        <v>187</v>
      </c>
      <c r="AD105" s="23" t="str">
        <f t="shared" si="13"/>
        <v>No</v>
      </c>
    </row>
    <row r="106" spans="1:30" x14ac:dyDescent="0.3">
      <c r="A106" s="23">
        <v>105</v>
      </c>
      <c r="B106" s="21" t="s">
        <v>153</v>
      </c>
      <c r="C106" s="23" t="s">
        <v>428</v>
      </c>
      <c r="D106" s="23">
        <v>-3</v>
      </c>
      <c r="E106" s="23" t="s">
        <v>41</v>
      </c>
      <c r="F106" s="23" t="s">
        <v>42</v>
      </c>
      <c r="G106" s="25">
        <v>5.3109999999999999</v>
      </c>
      <c r="H106" s="25">
        <v>0.64817978821772038</v>
      </c>
      <c r="I106" s="25">
        <v>0</v>
      </c>
      <c r="J106" s="25">
        <v>0</v>
      </c>
      <c r="K106" s="25">
        <v>0</v>
      </c>
      <c r="L106" s="25">
        <v>0</v>
      </c>
      <c r="M106" s="25"/>
      <c r="N106" s="25">
        <v>0</v>
      </c>
      <c r="O106" s="25">
        <v>0</v>
      </c>
      <c r="P106" s="25">
        <v>0</v>
      </c>
      <c r="Q106" s="25">
        <v>0</v>
      </c>
      <c r="R106" s="25">
        <v>0</v>
      </c>
      <c r="S106" s="25"/>
      <c r="T106" s="25">
        <v>1.2179823502840009E-4</v>
      </c>
      <c r="U106" s="25">
        <v>3.2156475362577478E-4</v>
      </c>
      <c r="V106" s="25">
        <v>2.2707325402239803E-4</v>
      </c>
      <c r="W106" s="25">
        <v>0</v>
      </c>
      <c r="X106" s="25">
        <f t="shared" si="7"/>
        <v>0.64885022446039697</v>
      </c>
      <c r="Y106" s="27">
        <f t="shared" si="8"/>
        <v>12.217100818309113</v>
      </c>
      <c r="Z106" s="25">
        <f t="shared" si="9"/>
        <v>0.64817978821772038</v>
      </c>
      <c r="AA106" s="49">
        <f t="shared" si="10"/>
        <v>2010</v>
      </c>
      <c r="AB106" s="29">
        <f t="shared" si="11"/>
        <v>12.204477277682553</v>
      </c>
      <c r="AC106" s="23">
        <f t="shared" si="12"/>
        <v>23</v>
      </c>
      <c r="AD106" s="23" t="str">
        <f t="shared" si="13"/>
        <v>Yes</v>
      </c>
    </row>
    <row r="107" spans="1:30" x14ac:dyDescent="0.3">
      <c r="A107" s="23">
        <v>106</v>
      </c>
      <c r="B107" s="21" t="s">
        <v>154</v>
      </c>
      <c r="C107" s="23" t="s">
        <v>429</v>
      </c>
      <c r="D107" s="23">
        <v>-2</v>
      </c>
      <c r="E107" s="23" t="s">
        <v>44</v>
      </c>
      <c r="F107" s="23" t="s">
        <v>42</v>
      </c>
      <c r="G107" s="25">
        <v>2.2360000000000002</v>
      </c>
      <c r="H107" s="25">
        <v>5.1590081428693535E-2</v>
      </c>
      <c r="I107" s="25">
        <v>3.8230127979995451E-3</v>
      </c>
      <c r="J107" s="25">
        <v>6.536178935569216E-3</v>
      </c>
      <c r="K107" s="25">
        <v>0</v>
      </c>
      <c r="L107" s="25">
        <v>0</v>
      </c>
      <c r="M107" s="25"/>
      <c r="N107" s="25">
        <v>0</v>
      </c>
      <c r="O107" s="25">
        <v>0</v>
      </c>
      <c r="P107" s="25">
        <v>4.339755488479859E-4</v>
      </c>
      <c r="Q107" s="25">
        <v>0</v>
      </c>
      <c r="R107" s="25">
        <v>0</v>
      </c>
      <c r="S107" s="25"/>
      <c r="T107" s="25">
        <v>6.4833411214191053E-4</v>
      </c>
      <c r="U107" s="25">
        <v>2.7627382313748239E-4</v>
      </c>
      <c r="V107" s="25">
        <v>0</v>
      </c>
      <c r="W107" s="25">
        <v>0</v>
      </c>
      <c r="X107" s="25">
        <f t="shared" si="7"/>
        <v>6.3307856646389674E-2</v>
      </c>
      <c r="Y107" s="27">
        <f t="shared" si="8"/>
        <v>2.8312994922356736</v>
      </c>
      <c r="Z107" s="25">
        <f t="shared" si="9"/>
        <v>5.1590081428693535E-2</v>
      </c>
      <c r="AA107" s="49">
        <f t="shared" si="10"/>
        <v>2010</v>
      </c>
      <c r="AB107" s="29">
        <f t="shared" si="11"/>
        <v>2.307248722213485</v>
      </c>
      <c r="AC107" s="23">
        <f t="shared" si="12"/>
        <v>104</v>
      </c>
      <c r="AD107" s="23" t="str">
        <f t="shared" si="13"/>
        <v>No</v>
      </c>
    </row>
    <row r="108" spans="1:30" x14ac:dyDescent="0.3">
      <c r="A108" s="23">
        <v>107</v>
      </c>
      <c r="B108" s="21" t="s">
        <v>155</v>
      </c>
      <c r="C108" s="23" t="s">
        <v>430</v>
      </c>
      <c r="D108" s="23">
        <v>-2</v>
      </c>
      <c r="E108" s="23" t="s">
        <v>44</v>
      </c>
      <c r="F108" s="23" t="s">
        <v>42</v>
      </c>
      <c r="G108" s="25">
        <v>2.3090000000000002</v>
      </c>
      <c r="H108" s="25">
        <v>3.4013715025507221E-2</v>
      </c>
      <c r="I108" s="25">
        <v>5.9681108526364275E-2</v>
      </c>
      <c r="J108" s="25">
        <v>0</v>
      </c>
      <c r="K108" s="25">
        <v>0</v>
      </c>
      <c r="L108" s="25">
        <v>0</v>
      </c>
      <c r="M108" s="25"/>
      <c r="N108" s="25">
        <v>2.1813937124004587E-4</v>
      </c>
      <c r="O108" s="25">
        <v>0</v>
      </c>
      <c r="P108" s="25">
        <v>0</v>
      </c>
      <c r="Q108" s="25">
        <v>0</v>
      </c>
      <c r="R108" s="25">
        <v>7.8192306242813536E-2</v>
      </c>
      <c r="S108" s="25"/>
      <c r="T108" s="25">
        <v>6.8581654023485969E-2</v>
      </c>
      <c r="U108" s="25">
        <v>0</v>
      </c>
      <c r="V108" s="25">
        <v>0</v>
      </c>
      <c r="W108" s="25">
        <v>0</v>
      </c>
      <c r="X108" s="25">
        <f t="shared" si="7"/>
        <v>0.24068692318941104</v>
      </c>
      <c r="Y108" s="27">
        <f t="shared" si="8"/>
        <v>10.423859817644479</v>
      </c>
      <c r="Z108" s="25">
        <f t="shared" si="9"/>
        <v>7.8192306242813536E-2</v>
      </c>
      <c r="AA108" s="49">
        <f t="shared" si="10"/>
        <v>2020</v>
      </c>
      <c r="AB108" s="29">
        <f t="shared" si="11"/>
        <v>3.3864143024172164</v>
      </c>
      <c r="AC108" s="23">
        <f t="shared" si="12"/>
        <v>79</v>
      </c>
      <c r="AD108" s="23" t="str">
        <f t="shared" si="13"/>
        <v>No</v>
      </c>
    </row>
    <row r="109" spans="1:30" x14ac:dyDescent="0.3">
      <c r="A109" s="23">
        <v>108</v>
      </c>
      <c r="B109" s="21" t="s">
        <v>156</v>
      </c>
      <c r="C109" s="23" t="s">
        <v>431</v>
      </c>
      <c r="D109" s="23">
        <v>-2</v>
      </c>
      <c r="E109" s="23" t="s">
        <v>44</v>
      </c>
      <c r="F109" s="23" t="s">
        <v>42</v>
      </c>
      <c r="G109" s="25">
        <v>2.2269999999999999</v>
      </c>
      <c r="H109" s="25">
        <v>2.1053767144985983E-3</v>
      </c>
      <c r="I109" s="25">
        <v>0</v>
      </c>
      <c r="J109" s="25">
        <v>5.5744455077044405E-4</v>
      </c>
      <c r="K109" s="25">
        <v>0</v>
      </c>
      <c r="L109" s="25">
        <v>0</v>
      </c>
      <c r="M109" s="25"/>
      <c r="N109" s="25">
        <v>0</v>
      </c>
      <c r="O109" s="25">
        <v>0</v>
      </c>
      <c r="P109" s="25">
        <v>0</v>
      </c>
      <c r="Q109" s="25">
        <v>0</v>
      </c>
      <c r="R109" s="25">
        <v>0</v>
      </c>
      <c r="S109" s="25"/>
      <c r="T109" s="25">
        <v>0</v>
      </c>
      <c r="U109" s="25">
        <v>0</v>
      </c>
      <c r="V109" s="25">
        <v>0</v>
      </c>
      <c r="W109" s="25">
        <v>0</v>
      </c>
      <c r="X109" s="25">
        <f t="shared" si="7"/>
        <v>2.6628212652690421E-3</v>
      </c>
      <c r="Y109" s="27">
        <f t="shared" si="8"/>
        <v>0.11956988169147023</v>
      </c>
      <c r="Z109" s="25">
        <f t="shared" si="9"/>
        <v>2.1053767144985983E-3</v>
      </c>
      <c r="AA109" s="49">
        <f t="shared" si="10"/>
        <v>2010</v>
      </c>
      <c r="AB109" s="29">
        <f t="shared" si="11"/>
        <v>9.4538693960422013E-2</v>
      </c>
      <c r="AC109" s="23">
        <f t="shared" si="12"/>
        <v>201</v>
      </c>
      <c r="AD109" s="23" t="str">
        <f t="shared" si="13"/>
        <v>No</v>
      </c>
    </row>
    <row r="110" spans="1:30" x14ac:dyDescent="0.3">
      <c r="A110" s="23">
        <v>109</v>
      </c>
      <c r="B110" s="21" t="s">
        <v>157</v>
      </c>
      <c r="C110" s="23" t="s">
        <v>432</v>
      </c>
      <c r="D110" s="23">
        <v>-3</v>
      </c>
      <c r="E110" s="23" t="s">
        <v>41</v>
      </c>
      <c r="F110" s="23" t="s">
        <v>42</v>
      </c>
      <c r="G110" s="25">
        <v>3.089</v>
      </c>
      <c r="H110" s="25">
        <v>0.105698825780496</v>
      </c>
      <c r="I110" s="25">
        <v>0.28399922811152628</v>
      </c>
      <c r="J110" s="25">
        <v>2.5001925439165316E-3</v>
      </c>
      <c r="K110" s="25">
        <v>0</v>
      </c>
      <c r="L110" s="25">
        <v>0</v>
      </c>
      <c r="M110" s="25"/>
      <c r="N110" s="25">
        <v>4.5465376601781462E-4</v>
      </c>
      <c r="O110" s="25">
        <v>3.78190930548124E-4</v>
      </c>
      <c r="P110" s="25">
        <v>5.2465463741080745E-4</v>
      </c>
      <c r="Q110" s="25">
        <v>0</v>
      </c>
      <c r="R110" s="25">
        <v>2.9540608339540747E-3</v>
      </c>
      <c r="S110" s="25"/>
      <c r="T110" s="25">
        <v>4.9400602362399335E-3</v>
      </c>
      <c r="U110" s="25">
        <v>1.6923844505482749E-4</v>
      </c>
      <c r="V110" s="25">
        <v>7.8266630480774615E-3</v>
      </c>
      <c r="W110" s="25">
        <v>0</v>
      </c>
      <c r="X110" s="25">
        <f t="shared" si="7"/>
        <v>0.40944576833324187</v>
      </c>
      <c r="Y110" s="27">
        <f t="shared" si="8"/>
        <v>13.254961745977401</v>
      </c>
      <c r="Z110" s="25">
        <f t="shared" si="9"/>
        <v>0.28399922811152628</v>
      </c>
      <c r="AA110" s="49">
        <f t="shared" si="10"/>
        <v>2011</v>
      </c>
      <c r="AB110" s="29">
        <f t="shared" si="11"/>
        <v>9.1938888996933077</v>
      </c>
      <c r="AC110" s="23">
        <f t="shared" si="12"/>
        <v>32</v>
      </c>
      <c r="AD110" s="23" t="str">
        <f t="shared" si="13"/>
        <v>No</v>
      </c>
    </row>
    <row r="111" spans="1:30" x14ac:dyDescent="0.3">
      <c r="A111" s="23">
        <v>110</v>
      </c>
      <c r="B111" s="21" t="s">
        <v>158</v>
      </c>
      <c r="C111" s="23" t="s">
        <v>433</v>
      </c>
      <c r="D111" s="23">
        <v>-3</v>
      </c>
      <c r="E111" s="23" t="s">
        <v>41</v>
      </c>
      <c r="F111" s="23" t="s">
        <v>42</v>
      </c>
      <c r="G111" s="25">
        <v>2.2839999999999998</v>
      </c>
      <c r="H111" s="25">
        <v>0.64624176988271365</v>
      </c>
      <c r="I111" s="25">
        <v>9.400895843099151E-2</v>
      </c>
      <c r="J111" s="25">
        <v>0</v>
      </c>
      <c r="K111" s="25">
        <v>0</v>
      </c>
      <c r="L111" s="25">
        <v>0</v>
      </c>
      <c r="M111" s="25"/>
      <c r="N111" s="25">
        <v>0</v>
      </c>
      <c r="O111" s="25">
        <v>0</v>
      </c>
      <c r="P111" s="25">
        <v>4.8759575529088036E-4</v>
      </c>
      <c r="Q111" s="25">
        <v>0</v>
      </c>
      <c r="R111" s="25">
        <v>0</v>
      </c>
      <c r="S111" s="25"/>
      <c r="T111" s="25">
        <v>3.3986595815932376E-4</v>
      </c>
      <c r="U111" s="25">
        <v>6.0107261756541701E-3</v>
      </c>
      <c r="V111" s="25">
        <v>0</v>
      </c>
      <c r="W111" s="25">
        <v>4.0392168925635632E-4</v>
      </c>
      <c r="X111" s="25">
        <f t="shared" si="7"/>
        <v>0.74749283789206589</v>
      </c>
      <c r="Y111" s="27">
        <f t="shared" si="8"/>
        <v>32.727357175659634</v>
      </c>
      <c r="Z111" s="25">
        <f t="shared" si="9"/>
        <v>0.64624176988271365</v>
      </c>
      <c r="AA111" s="49">
        <f t="shared" si="10"/>
        <v>2010</v>
      </c>
      <c r="AB111" s="29">
        <f t="shared" si="11"/>
        <v>28.294298155985715</v>
      </c>
      <c r="AC111" s="23">
        <f t="shared" si="12"/>
        <v>4</v>
      </c>
      <c r="AD111" s="23" t="str">
        <f t="shared" si="13"/>
        <v>Yes</v>
      </c>
    </row>
    <row r="112" spans="1:30" x14ac:dyDescent="0.3">
      <c r="A112" s="23">
        <v>111</v>
      </c>
      <c r="B112" s="21" t="s">
        <v>159</v>
      </c>
      <c r="C112" s="23" t="s">
        <v>434</v>
      </c>
      <c r="D112" s="23">
        <v>-2</v>
      </c>
      <c r="E112" s="23" t="s">
        <v>44</v>
      </c>
      <c r="F112" s="23" t="s">
        <v>42</v>
      </c>
      <c r="G112" s="25">
        <v>1.4910000000000001</v>
      </c>
      <c r="H112" s="25">
        <v>6.3764687845010446E-3</v>
      </c>
      <c r="I112" s="25">
        <v>9.8548764649871736E-4</v>
      </c>
      <c r="J112" s="25">
        <v>2.4295812408731692E-3</v>
      </c>
      <c r="K112" s="25">
        <v>0</v>
      </c>
      <c r="L112" s="25">
        <v>0</v>
      </c>
      <c r="M112" s="25"/>
      <c r="N112" s="25">
        <v>0</v>
      </c>
      <c r="O112" s="25">
        <v>0</v>
      </c>
      <c r="P112" s="25">
        <v>7.099017126609979E-4</v>
      </c>
      <c r="Q112" s="25">
        <v>0</v>
      </c>
      <c r="R112" s="25">
        <v>9.4751052075589542E-5</v>
      </c>
      <c r="S112" s="25"/>
      <c r="T112" s="25">
        <v>5.4326336521590135E-4</v>
      </c>
      <c r="U112" s="25">
        <v>0</v>
      </c>
      <c r="V112" s="25">
        <v>0</v>
      </c>
      <c r="W112" s="25">
        <v>0</v>
      </c>
      <c r="X112" s="25">
        <f t="shared" si="7"/>
        <v>1.1139453801825421E-2</v>
      </c>
      <c r="Y112" s="27">
        <f t="shared" si="8"/>
        <v>0.74711293104127563</v>
      </c>
      <c r="Z112" s="25">
        <f t="shared" si="9"/>
        <v>6.3764687845010446E-3</v>
      </c>
      <c r="AA112" s="49">
        <f t="shared" si="10"/>
        <v>2010</v>
      </c>
      <c r="AB112" s="29">
        <f t="shared" si="11"/>
        <v>0.42766390238102242</v>
      </c>
      <c r="AC112" s="23">
        <f t="shared" si="12"/>
        <v>171</v>
      </c>
      <c r="AD112" s="23" t="str">
        <f t="shared" si="13"/>
        <v>No</v>
      </c>
    </row>
    <row r="113" spans="1:30" x14ac:dyDescent="0.3">
      <c r="A113" s="23">
        <v>112</v>
      </c>
      <c r="B113" s="21" t="s">
        <v>160</v>
      </c>
      <c r="C113" s="23" t="s">
        <v>435</v>
      </c>
      <c r="D113" s="23">
        <v>-2</v>
      </c>
      <c r="E113" s="23" t="s">
        <v>44</v>
      </c>
      <c r="F113" s="23" t="s">
        <v>42</v>
      </c>
      <c r="G113" s="25">
        <v>0.878</v>
      </c>
      <c r="H113" s="25">
        <v>3.3603145748010217E-2</v>
      </c>
      <c r="I113" s="25">
        <v>2.3442925234984724E-3</v>
      </c>
      <c r="J113" s="25">
        <v>1.5365489431526657E-4</v>
      </c>
      <c r="K113" s="25">
        <v>0</v>
      </c>
      <c r="L113" s="25">
        <v>0</v>
      </c>
      <c r="M113" s="25"/>
      <c r="N113" s="25">
        <v>0</v>
      </c>
      <c r="O113" s="25">
        <v>0</v>
      </c>
      <c r="P113" s="25">
        <v>0</v>
      </c>
      <c r="Q113" s="25">
        <v>0</v>
      </c>
      <c r="R113" s="25">
        <v>0</v>
      </c>
      <c r="S113" s="25"/>
      <c r="T113" s="25">
        <v>2.0528439748565869E-4</v>
      </c>
      <c r="U113" s="25">
        <v>0</v>
      </c>
      <c r="V113" s="25">
        <v>0</v>
      </c>
      <c r="W113" s="25">
        <v>0</v>
      </c>
      <c r="X113" s="25">
        <f t="shared" si="7"/>
        <v>3.6306377563309608E-2</v>
      </c>
      <c r="Y113" s="27">
        <f t="shared" si="8"/>
        <v>4.1351227293063335</v>
      </c>
      <c r="Z113" s="25">
        <f t="shared" si="9"/>
        <v>3.3603145748010217E-2</v>
      </c>
      <c r="AA113" s="49">
        <f t="shared" si="10"/>
        <v>2010</v>
      </c>
      <c r="AB113" s="29">
        <f t="shared" si="11"/>
        <v>3.8272375567209811</v>
      </c>
      <c r="AC113" s="23">
        <f t="shared" si="12"/>
        <v>66</v>
      </c>
      <c r="AD113" s="23" t="str">
        <f t="shared" si="13"/>
        <v>No</v>
      </c>
    </row>
    <row r="114" spans="1:30" x14ac:dyDescent="0.3">
      <c r="A114" s="23">
        <v>113</v>
      </c>
      <c r="B114" s="21" t="s">
        <v>161</v>
      </c>
      <c r="C114" s="23" t="s">
        <v>436</v>
      </c>
      <c r="D114" s="23">
        <v>-4</v>
      </c>
      <c r="E114" s="23" t="s">
        <v>46</v>
      </c>
      <c r="F114" s="23" t="s">
        <v>42</v>
      </c>
      <c r="G114" s="25">
        <v>1.1259999999999999</v>
      </c>
      <c r="H114" s="25">
        <v>9.3136544626696641E-2</v>
      </c>
      <c r="I114" s="25">
        <v>0</v>
      </c>
      <c r="J114" s="25">
        <v>1.0442049929051427E-4</v>
      </c>
      <c r="K114" s="25">
        <v>0</v>
      </c>
      <c r="L114" s="25">
        <v>1.0153621333732735E-4</v>
      </c>
      <c r="M114" s="25"/>
      <c r="N114" s="25">
        <v>0</v>
      </c>
      <c r="O114" s="25">
        <v>0</v>
      </c>
      <c r="P114" s="25">
        <v>0</v>
      </c>
      <c r="Q114" s="25">
        <v>0</v>
      </c>
      <c r="R114" s="25">
        <v>0</v>
      </c>
      <c r="S114" s="25"/>
      <c r="T114" s="25">
        <v>0</v>
      </c>
      <c r="U114" s="25">
        <v>0</v>
      </c>
      <c r="V114" s="25">
        <v>0</v>
      </c>
      <c r="W114" s="25">
        <v>0</v>
      </c>
      <c r="X114" s="25">
        <f t="shared" si="7"/>
        <v>9.3342501339324493E-2</v>
      </c>
      <c r="Y114" s="27">
        <f t="shared" si="8"/>
        <v>8.2897425700998681</v>
      </c>
      <c r="Z114" s="25">
        <f t="shared" si="9"/>
        <v>9.3136544626696641E-2</v>
      </c>
      <c r="AA114" s="49">
        <f t="shared" si="10"/>
        <v>2010</v>
      </c>
      <c r="AB114" s="29">
        <f t="shared" si="11"/>
        <v>8.2714515654259895</v>
      </c>
      <c r="AC114" s="23">
        <f t="shared" si="12"/>
        <v>38</v>
      </c>
      <c r="AD114" s="23" t="str">
        <f t="shared" si="13"/>
        <v>No</v>
      </c>
    </row>
    <row r="115" spans="1:30" x14ac:dyDescent="0.3">
      <c r="A115" s="23">
        <v>114</v>
      </c>
      <c r="B115" s="21" t="s">
        <v>162</v>
      </c>
      <c r="C115" s="23" t="s">
        <v>437</v>
      </c>
      <c r="D115" s="23">
        <v>-2</v>
      </c>
      <c r="E115" s="23" t="s">
        <v>44</v>
      </c>
      <c r="F115" s="23" t="s">
        <v>42</v>
      </c>
      <c r="G115" s="25">
        <v>1.149</v>
      </c>
      <c r="H115" s="25">
        <v>2.5038633037552036E-2</v>
      </c>
      <c r="I115" s="25">
        <v>3.6218224654996885E-3</v>
      </c>
      <c r="J115" s="25">
        <v>0</v>
      </c>
      <c r="K115" s="25">
        <v>0</v>
      </c>
      <c r="L115" s="25">
        <v>0</v>
      </c>
      <c r="M115" s="25"/>
      <c r="N115" s="25">
        <v>0</v>
      </c>
      <c r="O115" s="25">
        <v>0</v>
      </c>
      <c r="P115" s="25">
        <v>0</v>
      </c>
      <c r="Q115" s="25">
        <v>0</v>
      </c>
      <c r="R115" s="25">
        <v>0</v>
      </c>
      <c r="S115" s="25"/>
      <c r="T115" s="25">
        <v>0</v>
      </c>
      <c r="U115" s="25">
        <v>2.3889580010029023E-4</v>
      </c>
      <c r="V115" s="25">
        <v>0</v>
      </c>
      <c r="W115" s="25">
        <v>0</v>
      </c>
      <c r="X115" s="25">
        <f t="shared" si="7"/>
        <v>2.8899351303152014E-2</v>
      </c>
      <c r="Y115" s="27">
        <f t="shared" si="8"/>
        <v>2.5151741778200187</v>
      </c>
      <c r="Z115" s="25">
        <f t="shared" si="9"/>
        <v>2.5038633037552036E-2</v>
      </c>
      <c r="AA115" s="49">
        <f t="shared" si="10"/>
        <v>2010</v>
      </c>
      <c r="AB115" s="29">
        <f t="shared" si="11"/>
        <v>2.1791673661925182</v>
      </c>
      <c r="AC115" s="23">
        <f t="shared" si="12"/>
        <v>108</v>
      </c>
      <c r="AD115" s="23" t="str">
        <f t="shared" si="13"/>
        <v>No</v>
      </c>
    </row>
    <row r="116" spans="1:30" x14ac:dyDescent="0.3">
      <c r="A116" s="23">
        <v>115</v>
      </c>
      <c r="B116" s="21" t="s">
        <v>163</v>
      </c>
      <c r="C116" s="23" t="s">
        <v>438</v>
      </c>
      <c r="D116" s="23">
        <v>-1</v>
      </c>
      <c r="E116" s="23" t="s">
        <v>55</v>
      </c>
      <c r="F116" s="23" t="s">
        <v>42</v>
      </c>
      <c r="G116" s="25">
        <v>1.6240000000000001</v>
      </c>
      <c r="H116" s="25">
        <v>1.2888674957363401E-2</v>
      </c>
      <c r="I116" s="25">
        <v>0</v>
      </c>
      <c r="J116" s="25">
        <v>1.1107756279684692E-3</v>
      </c>
      <c r="K116" s="25">
        <v>0</v>
      </c>
      <c r="L116" s="25">
        <v>0</v>
      </c>
      <c r="M116" s="25"/>
      <c r="N116" s="25">
        <v>0</v>
      </c>
      <c r="O116" s="25">
        <v>0</v>
      </c>
      <c r="P116" s="25">
        <v>0</v>
      </c>
      <c r="Q116" s="25">
        <v>0</v>
      </c>
      <c r="R116" s="25">
        <v>0</v>
      </c>
      <c r="S116" s="25"/>
      <c r="T116" s="25">
        <v>1.8652830486737366E-4</v>
      </c>
      <c r="U116" s="25">
        <v>0</v>
      </c>
      <c r="V116" s="25">
        <v>0</v>
      </c>
      <c r="W116" s="25">
        <v>0</v>
      </c>
      <c r="X116" s="25">
        <f t="shared" si="7"/>
        <v>1.4185978890199244E-2</v>
      </c>
      <c r="Y116" s="27">
        <f t="shared" si="8"/>
        <v>0.87352086762310621</v>
      </c>
      <c r="Z116" s="25">
        <f t="shared" si="9"/>
        <v>1.2888674957363401E-2</v>
      </c>
      <c r="AA116" s="49">
        <f t="shared" si="10"/>
        <v>2010</v>
      </c>
      <c r="AB116" s="29">
        <f t="shared" si="11"/>
        <v>0.79363762052730302</v>
      </c>
      <c r="AC116" s="23">
        <f t="shared" si="12"/>
        <v>154</v>
      </c>
      <c r="AD116" s="23" t="str">
        <f t="shared" si="13"/>
        <v>No</v>
      </c>
    </row>
    <row r="117" spans="1:30" x14ac:dyDescent="0.3">
      <c r="A117" s="23">
        <v>116</v>
      </c>
      <c r="B117" s="21" t="s">
        <v>164</v>
      </c>
      <c r="C117" s="23" t="s">
        <v>439</v>
      </c>
      <c r="D117" s="23">
        <v>-3</v>
      </c>
      <c r="E117" s="23" t="s">
        <v>41</v>
      </c>
      <c r="F117" s="23" t="s">
        <v>42</v>
      </c>
      <c r="G117" s="25">
        <v>3.1880000000000002</v>
      </c>
      <c r="H117" s="25">
        <v>5.5962320990494016E-2</v>
      </c>
      <c r="I117" s="25">
        <v>5.3290529750042335E-4</v>
      </c>
      <c r="J117" s="25">
        <v>9.6847038566586711E-4</v>
      </c>
      <c r="K117" s="25">
        <v>0</v>
      </c>
      <c r="L117" s="25">
        <v>0</v>
      </c>
      <c r="M117" s="25"/>
      <c r="N117" s="25">
        <v>0</v>
      </c>
      <c r="O117" s="25">
        <v>0</v>
      </c>
      <c r="P117" s="25">
        <v>0</v>
      </c>
      <c r="Q117" s="25">
        <v>0</v>
      </c>
      <c r="R117" s="25">
        <v>1.7516095193987713E-4</v>
      </c>
      <c r="S117" s="25"/>
      <c r="T117" s="25">
        <v>2.4196014618992922E-4</v>
      </c>
      <c r="U117" s="25">
        <v>0</v>
      </c>
      <c r="V117" s="25">
        <v>0</v>
      </c>
      <c r="W117" s="25">
        <v>0</v>
      </c>
      <c r="X117" s="25">
        <f t="shared" si="7"/>
        <v>5.7880817771790105E-2</v>
      </c>
      <c r="Y117" s="27">
        <f t="shared" si="8"/>
        <v>1.8155839953510069</v>
      </c>
      <c r="Z117" s="25">
        <f t="shared" si="9"/>
        <v>5.5962320990494016E-2</v>
      </c>
      <c r="AA117" s="49">
        <f t="shared" si="10"/>
        <v>2010</v>
      </c>
      <c r="AB117" s="29">
        <f t="shared" si="11"/>
        <v>1.7554053008310544</v>
      </c>
      <c r="AC117" s="23">
        <f t="shared" si="12"/>
        <v>119</v>
      </c>
      <c r="AD117" s="23" t="str">
        <f t="shared" si="13"/>
        <v>No</v>
      </c>
    </row>
    <row r="118" spans="1:30" x14ac:dyDescent="0.3">
      <c r="A118" s="23">
        <v>117</v>
      </c>
      <c r="B118" s="21" t="s">
        <v>165</v>
      </c>
      <c r="C118" s="23" t="s">
        <v>440</v>
      </c>
      <c r="D118" s="23">
        <v>-1</v>
      </c>
      <c r="E118" s="23" t="s">
        <v>55</v>
      </c>
      <c r="F118" s="23" t="s">
        <v>42</v>
      </c>
      <c r="G118" s="25">
        <v>0.87</v>
      </c>
      <c r="H118" s="25">
        <v>9.1114538312508542E-2</v>
      </c>
      <c r="I118" s="25">
        <v>7.4573650443002348E-2</v>
      </c>
      <c r="J118" s="25">
        <v>0</v>
      </c>
      <c r="K118" s="25">
        <v>0</v>
      </c>
      <c r="L118" s="25">
        <v>0</v>
      </c>
      <c r="M118" s="25"/>
      <c r="N118" s="25">
        <v>0</v>
      </c>
      <c r="O118" s="25">
        <v>0</v>
      </c>
      <c r="P118" s="25">
        <v>0</v>
      </c>
      <c r="Q118" s="25">
        <v>0</v>
      </c>
      <c r="R118" s="25">
        <v>0</v>
      </c>
      <c r="S118" s="25"/>
      <c r="T118" s="25">
        <v>0</v>
      </c>
      <c r="U118" s="25">
        <v>0</v>
      </c>
      <c r="V118" s="25">
        <v>0</v>
      </c>
      <c r="W118" s="25">
        <v>0</v>
      </c>
      <c r="X118" s="25">
        <f t="shared" si="7"/>
        <v>0.16568818875551089</v>
      </c>
      <c r="Y118" s="27">
        <f t="shared" si="8"/>
        <v>19.044619397185159</v>
      </c>
      <c r="Z118" s="25">
        <f t="shared" si="9"/>
        <v>9.1114538312508542E-2</v>
      </c>
      <c r="AA118" s="49">
        <f t="shared" si="10"/>
        <v>2010</v>
      </c>
      <c r="AB118" s="29">
        <f t="shared" si="11"/>
        <v>10.472935438219373</v>
      </c>
      <c r="AC118" s="23">
        <f t="shared" si="12"/>
        <v>25</v>
      </c>
      <c r="AD118" s="23" t="str">
        <f t="shared" si="13"/>
        <v>No</v>
      </c>
    </row>
    <row r="119" spans="1:30" x14ac:dyDescent="0.3">
      <c r="A119" s="23">
        <v>118</v>
      </c>
      <c r="B119" s="21" t="s">
        <v>166</v>
      </c>
      <c r="C119" s="23" t="s">
        <v>441</v>
      </c>
      <c r="D119" s="23">
        <v>-3</v>
      </c>
      <c r="E119" s="23" t="s">
        <v>41</v>
      </c>
      <c r="F119" s="23" t="s">
        <v>42</v>
      </c>
      <c r="G119" s="25">
        <v>5.1159999999999997</v>
      </c>
      <c r="H119" s="25">
        <v>8.8550321224955438E-3</v>
      </c>
      <c r="I119" s="25">
        <v>0</v>
      </c>
      <c r="J119" s="25">
        <v>5.5745216749695831E-4</v>
      </c>
      <c r="K119" s="25">
        <v>0</v>
      </c>
      <c r="L119" s="25">
        <v>0</v>
      </c>
      <c r="M119" s="25"/>
      <c r="N119" s="25">
        <v>0</v>
      </c>
      <c r="O119" s="25">
        <v>0</v>
      </c>
      <c r="P119" s="25">
        <v>0</v>
      </c>
      <c r="Q119" s="25">
        <v>0</v>
      </c>
      <c r="R119" s="25">
        <v>0</v>
      </c>
      <c r="S119" s="25"/>
      <c r="T119" s="25">
        <v>4.9195424533938061E-4</v>
      </c>
      <c r="U119" s="25">
        <v>0</v>
      </c>
      <c r="V119" s="25">
        <v>0</v>
      </c>
      <c r="W119" s="25">
        <v>0</v>
      </c>
      <c r="X119" s="25">
        <f t="shared" si="7"/>
        <v>9.9044385353318828E-3</v>
      </c>
      <c r="Y119" s="27">
        <f t="shared" si="8"/>
        <v>0.19359731304401648</v>
      </c>
      <c r="Z119" s="25">
        <f t="shared" si="9"/>
        <v>8.8550321224955438E-3</v>
      </c>
      <c r="AA119" s="49">
        <f t="shared" si="10"/>
        <v>2010</v>
      </c>
      <c r="AB119" s="29">
        <f t="shared" si="11"/>
        <v>0.17308506885253214</v>
      </c>
      <c r="AC119" s="23">
        <f t="shared" si="12"/>
        <v>190</v>
      </c>
      <c r="AD119" s="23" t="str">
        <f t="shared" si="13"/>
        <v>No</v>
      </c>
    </row>
    <row r="120" spans="1:30" x14ac:dyDescent="0.3">
      <c r="A120" s="23">
        <v>119</v>
      </c>
      <c r="B120" s="21" t="s">
        <v>167</v>
      </c>
      <c r="C120" s="23" t="s">
        <v>442</v>
      </c>
      <c r="D120" s="23">
        <v>-3</v>
      </c>
      <c r="E120" s="23" t="s">
        <v>41</v>
      </c>
      <c r="F120" s="23" t="s">
        <v>42</v>
      </c>
      <c r="G120" s="25">
        <v>2.375</v>
      </c>
      <c r="H120" s="25">
        <v>8.3908492240004195E-3</v>
      </c>
      <c r="I120" s="25">
        <v>2.4832461655011576E-3</v>
      </c>
      <c r="J120" s="25">
        <v>1.9484273362175444E-3</v>
      </c>
      <c r="K120" s="25">
        <v>0</v>
      </c>
      <c r="L120" s="25">
        <v>0</v>
      </c>
      <c r="M120" s="25"/>
      <c r="N120" s="25">
        <v>0</v>
      </c>
      <c r="O120" s="25">
        <v>0</v>
      </c>
      <c r="P120" s="25">
        <v>0</v>
      </c>
      <c r="Q120" s="25">
        <v>0</v>
      </c>
      <c r="R120" s="25">
        <v>0</v>
      </c>
      <c r="S120" s="25"/>
      <c r="T120" s="25">
        <v>2.187006917379913E-4</v>
      </c>
      <c r="U120" s="25">
        <v>0</v>
      </c>
      <c r="V120" s="25">
        <v>0</v>
      </c>
      <c r="W120" s="25">
        <v>0</v>
      </c>
      <c r="X120" s="25">
        <f t="shared" si="7"/>
        <v>1.3041223417457113E-2</v>
      </c>
      <c r="Y120" s="27">
        <f t="shared" si="8"/>
        <v>0.54910414389293105</v>
      </c>
      <c r="Z120" s="25">
        <f t="shared" si="9"/>
        <v>8.3908492240004195E-3</v>
      </c>
      <c r="AA120" s="49">
        <f t="shared" si="10"/>
        <v>2010</v>
      </c>
      <c r="AB120" s="29">
        <f t="shared" si="11"/>
        <v>0.3532989146947545</v>
      </c>
      <c r="AC120" s="23">
        <f t="shared" si="12"/>
        <v>173</v>
      </c>
      <c r="AD120" s="23" t="str">
        <f t="shared" si="13"/>
        <v>No</v>
      </c>
    </row>
    <row r="121" spans="1:30" x14ac:dyDescent="0.3">
      <c r="A121" s="23">
        <v>120</v>
      </c>
      <c r="B121" s="21" t="s">
        <v>168</v>
      </c>
      <c r="C121" s="23" t="s">
        <v>443</v>
      </c>
      <c r="D121" s="23">
        <v>-1</v>
      </c>
      <c r="E121" s="23" t="s">
        <v>55</v>
      </c>
      <c r="F121" s="23" t="s">
        <v>42</v>
      </c>
      <c r="G121" s="25">
        <v>2.1640000000000001</v>
      </c>
      <c r="H121" s="25">
        <v>2.4525703837468625E-2</v>
      </c>
      <c r="I121" s="25">
        <v>0</v>
      </c>
      <c r="J121" s="25">
        <v>1.4119747687943164E-4</v>
      </c>
      <c r="K121" s="25">
        <v>0</v>
      </c>
      <c r="L121" s="25">
        <v>0</v>
      </c>
      <c r="M121" s="25"/>
      <c r="N121" s="25">
        <v>0</v>
      </c>
      <c r="O121" s="25">
        <v>0</v>
      </c>
      <c r="P121" s="25">
        <v>0</v>
      </c>
      <c r="Q121" s="25">
        <v>0</v>
      </c>
      <c r="R121" s="25">
        <v>0</v>
      </c>
      <c r="S121" s="25"/>
      <c r="T121" s="25">
        <v>7.98289335759182E-5</v>
      </c>
      <c r="U121" s="25">
        <v>0</v>
      </c>
      <c r="V121" s="25">
        <v>0</v>
      </c>
      <c r="W121" s="25">
        <v>0</v>
      </c>
      <c r="X121" s="25">
        <f t="shared" si="7"/>
        <v>2.4746730247923975E-2</v>
      </c>
      <c r="Y121" s="27">
        <f t="shared" si="8"/>
        <v>1.1435642443587788</v>
      </c>
      <c r="Z121" s="25">
        <f t="shared" si="9"/>
        <v>2.4525703837468625E-2</v>
      </c>
      <c r="AA121" s="49">
        <f t="shared" si="10"/>
        <v>2010</v>
      </c>
      <c r="AB121" s="29">
        <f t="shared" si="11"/>
        <v>1.1333504545965167</v>
      </c>
      <c r="AC121" s="23">
        <f t="shared" si="12"/>
        <v>139</v>
      </c>
      <c r="AD121" s="23" t="str">
        <f t="shared" si="13"/>
        <v>No</v>
      </c>
    </row>
    <row r="122" spans="1:30" x14ac:dyDescent="0.3">
      <c r="A122" s="23">
        <v>121</v>
      </c>
      <c r="B122" s="21" t="s">
        <v>169</v>
      </c>
      <c r="C122" s="23" t="s">
        <v>444</v>
      </c>
      <c r="D122" s="23">
        <v>-2</v>
      </c>
      <c r="E122" s="23" t="s">
        <v>44</v>
      </c>
      <c r="F122" s="23" t="s">
        <v>42</v>
      </c>
      <c r="G122" s="25">
        <v>1.524</v>
      </c>
      <c r="H122" s="25">
        <v>0.41385474670027389</v>
      </c>
      <c r="I122" s="25">
        <v>1.9095181047315331E-2</v>
      </c>
      <c r="J122" s="25">
        <v>0</v>
      </c>
      <c r="K122" s="25">
        <v>0</v>
      </c>
      <c r="L122" s="25">
        <v>0</v>
      </c>
      <c r="M122" s="25"/>
      <c r="N122" s="25">
        <v>0</v>
      </c>
      <c r="O122" s="25">
        <v>0</v>
      </c>
      <c r="P122" s="25">
        <v>0</v>
      </c>
      <c r="Q122" s="25">
        <v>0</v>
      </c>
      <c r="R122" s="25">
        <v>0</v>
      </c>
      <c r="S122" s="25"/>
      <c r="T122" s="25">
        <v>1.4019606608692265E-4</v>
      </c>
      <c r="U122" s="25">
        <v>0</v>
      </c>
      <c r="V122" s="25">
        <v>1.3135630003155416E-4</v>
      </c>
      <c r="W122" s="25">
        <v>3.001748636353168E-4</v>
      </c>
      <c r="X122" s="25">
        <f t="shared" si="7"/>
        <v>0.43352165497734296</v>
      </c>
      <c r="Y122" s="27">
        <f t="shared" si="8"/>
        <v>28.44630282003563</v>
      </c>
      <c r="Z122" s="25">
        <f t="shared" si="9"/>
        <v>0.41385474670027389</v>
      </c>
      <c r="AA122" s="49">
        <f t="shared" si="10"/>
        <v>2010</v>
      </c>
      <c r="AB122" s="29">
        <f t="shared" si="11"/>
        <v>27.155823274296186</v>
      </c>
      <c r="AC122" s="23">
        <f t="shared" si="12"/>
        <v>6</v>
      </c>
      <c r="AD122" s="23" t="str">
        <f t="shared" si="13"/>
        <v>Yes</v>
      </c>
    </row>
    <row r="123" spans="1:30" x14ac:dyDescent="0.3">
      <c r="A123" s="23">
        <v>122</v>
      </c>
      <c r="B123" s="21" t="s">
        <v>170</v>
      </c>
      <c r="C123" s="23" t="s">
        <v>445</v>
      </c>
      <c r="D123" s="23">
        <v>-3</v>
      </c>
      <c r="E123" s="23" t="s">
        <v>41</v>
      </c>
      <c r="F123" s="23" t="s">
        <v>42</v>
      </c>
      <c r="G123" s="25">
        <v>3.2309999999999999</v>
      </c>
      <c r="H123" s="25">
        <v>1.604813810700341E-2</v>
      </c>
      <c r="I123" s="25">
        <v>0</v>
      </c>
      <c r="J123" s="25">
        <v>7.0433023905567822E-4</v>
      </c>
      <c r="K123" s="25">
        <v>0</v>
      </c>
      <c r="L123" s="25">
        <v>0</v>
      </c>
      <c r="M123" s="25"/>
      <c r="N123" s="25">
        <v>0</v>
      </c>
      <c r="O123" s="25">
        <v>0</v>
      </c>
      <c r="P123" s="25">
        <v>0</v>
      </c>
      <c r="Q123" s="25">
        <v>0</v>
      </c>
      <c r="R123" s="25">
        <v>0</v>
      </c>
      <c r="S123" s="25"/>
      <c r="T123" s="25">
        <v>0</v>
      </c>
      <c r="U123" s="25">
        <v>0</v>
      </c>
      <c r="V123" s="25">
        <v>0</v>
      </c>
      <c r="W123" s="25">
        <v>0</v>
      </c>
      <c r="X123" s="25">
        <f t="shared" si="7"/>
        <v>1.6752468346059087E-2</v>
      </c>
      <c r="Y123" s="27">
        <f t="shared" si="8"/>
        <v>0.51849174701513734</v>
      </c>
      <c r="Z123" s="25">
        <f t="shared" si="9"/>
        <v>1.604813810700341E-2</v>
      </c>
      <c r="AA123" s="49">
        <f t="shared" si="10"/>
        <v>2010</v>
      </c>
      <c r="AB123" s="29">
        <f t="shared" si="11"/>
        <v>0.49669260622108979</v>
      </c>
      <c r="AC123" s="23">
        <f t="shared" si="12"/>
        <v>169</v>
      </c>
      <c r="AD123" s="23" t="str">
        <f t="shared" si="13"/>
        <v>No</v>
      </c>
    </row>
    <row r="124" spans="1:30" x14ac:dyDescent="0.3">
      <c r="A124" s="23">
        <v>123</v>
      </c>
      <c r="B124" s="21" t="s">
        <v>171</v>
      </c>
      <c r="C124" s="23" t="s">
        <v>446</v>
      </c>
      <c r="D124" s="23">
        <v>-2</v>
      </c>
      <c r="E124" s="23" t="s">
        <v>44</v>
      </c>
      <c r="F124" s="23" t="s">
        <v>42</v>
      </c>
      <c r="G124" s="25">
        <v>0.51300000000000001</v>
      </c>
      <c r="H124" s="25">
        <v>2.5603823170028627E-3</v>
      </c>
      <c r="I124" s="25">
        <v>1.5824590570004547E-3</v>
      </c>
      <c r="J124" s="25">
        <v>1.5285147916135612E-4</v>
      </c>
      <c r="K124" s="25">
        <v>0</v>
      </c>
      <c r="L124" s="25">
        <v>0</v>
      </c>
      <c r="M124" s="25"/>
      <c r="N124" s="25">
        <v>0</v>
      </c>
      <c r="O124" s="25">
        <v>0</v>
      </c>
      <c r="P124" s="25">
        <v>0</v>
      </c>
      <c r="Q124" s="25">
        <v>0</v>
      </c>
      <c r="R124" s="25">
        <v>6.2992262011219276E-5</v>
      </c>
      <c r="S124" s="25"/>
      <c r="T124" s="25">
        <v>5.2574780333100076E-7</v>
      </c>
      <c r="U124" s="25">
        <v>0</v>
      </c>
      <c r="V124" s="25">
        <v>0</v>
      </c>
      <c r="W124" s="25">
        <v>0</v>
      </c>
      <c r="X124" s="25">
        <f t="shared" si="7"/>
        <v>4.3592108629792242E-3</v>
      </c>
      <c r="Y124" s="27">
        <f t="shared" si="8"/>
        <v>0.84974870623376697</v>
      </c>
      <c r="Z124" s="25">
        <f t="shared" si="9"/>
        <v>2.5603823170028627E-3</v>
      </c>
      <c r="AA124" s="49">
        <f t="shared" si="10"/>
        <v>2010</v>
      </c>
      <c r="AB124" s="29">
        <f t="shared" si="11"/>
        <v>0.49909986686215646</v>
      </c>
      <c r="AC124" s="23">
        <f t="shared" si="12"/>
        <v>168</v>
      </c>
      <c r="AD124" s="23" t="str">
        <f t="shared" si="13"/>
        <v>No</v>
      </c>
    </row>
    <row r="125" spans="1:30" x14ac:dyDescent="0.3">
      <c r="A125" s="23">
        <v>124</v>
      </c>
      <c r="B125" s="21" t="s">
        <v>172</v>
      </c>
      <c r="C125" s="23" t="s">
        <v>447</v>
      </c>
      <c r="D125" s="23">
        <v>-3</v>
      </c>
      <c r="E125" s="23" t="s">
        <v>41</v>
      </c>
      <c r="F125" s="23" t="s">
        <v>42</v>
      </c>
      <c r="G125" s="25">
        <v>0.82799999999999996</v>
      </c>
      <c r="H125" s="25">
        <v>0</v>
      </c>
      <c r="I125" s="25">
        <v>0</v>
      </c>
      <c r="J125" s="25">
        <v>0</v>
      </c>
      <c r="K125" s="25">
        <v>0</v>
      </c>
      <c r="L125" s="25">
        <v>0</v>
      </c>
      <c r="M125" s="25"/>
      <c r="N125" s="25">
        <v>0</v>
      </c>
      <c r="O125" s="25">
        <v>0</v>
      </c>
      <c r="P125" s="25">
        <v>1.0026462114648894E-4</v>
      </c>
      <c r="Q125" s="25">
        <v>0</v>
      </c>
      <c r="R125" s="25">
        <v>0</v>
      </c>
      <c r="S125" s="25"/>
      <c r="T125" s="25">
        <v>0</v>
      </c>
      <c r="U125" s="25">
        <v>0</v>
      </c>
      <c r="V125" s="25">
        <v>0</v>
      </c>
      <c r="W125" s="25">
        <v>0</v>
      </c>
      <c r="X125" s="25">
        <f t="shared" si="7"/>
        <v>1.0026462114648894E-4</v>
      </c>
      <c r="Y125" s="27">
        <f t="shared" si="8"/>
        <v>1.2109253761653255E-2</v>
      </c>
      <c r="Z125" s="25">
        <f t="shared" si="9"/>
        <v>1.0026462114648894E-4</v>
      </c>
      <c r="AA125" s="49">
        <f t="shared" si="10"/>
        <v>2018</v>
      </c>
      <c r="AB125" s="29">
        <f t="shared" si="11"/>
        <v>1.2109253761653255E-2</v>
      </c>
      <c r="AC125" s="23">
        <f t="shared" si="12"/>
        <v>226</v>
      </c>
      <c r="AD125" s="23" t="str">
        <f t="shared" si="13"/>
        <v>No</v>
      </c>
    </row>
    <row r="126" spans="1:30" x14ac:dyDescent="0.3">
      <c r="A126" s="23">
        <v>125</v>
      </c>
      <c r="B126" s="21" t="s">
        <v>173</v>
      </c>
      <c r="C126" s="23" t="s">
        <v>448</v>
      </c>
      <c r="D126" s="23">
        <v>-2</v>
      </c>
      <c r="E126" s="23" t="s">
        <v>44</v>
      </c>
      <c r="F126" s="23" t="s">
        <v>42</v>
      </c>
      <c r="G126" s="25">
        <v>2.4020000000000001</v>
      </c>
      <c r="H126" s="25">
        <v>0.153981189244699</v>
      </c>
      <c r="I126" s="25">
        <v>4.7853659035543991E-2</v>
      </c>
      <c r="J126" s="25">
        <v>0</v>
      </c>
      <c r="K126" s="25">
        <v>0</v>
      </c>
      <c r="L126" s="25">
        <v>0</v>
      </c>
      <c r="M126" s="25"/>
      <c r="N126" s="25">
        <v>0</v>
      </c>
      <c r="O126" s="25">
        <v>0</v>
      </c>
      <c r="P126" s="25">
        <v>7.2473632811168847E-3</v>
      </c>
      <c r="Q126" s="25">
        <v>0</v>
      </c>
      <c r="R126" s="25">
        <v>0</v>
      </c>
      <c r="S126" s="25"/>
      <c r="T126" s="25">
        <v>0</v>
      </c>
      <c r="U126" s="25">
        <v>0</v>
      </c>
      <c r="V126" s="25">
        <v>1.2306759505957597E-3</v>
      </c>
      <c r="W126" s="25">
        <v>0</v>
      </c>
      <c r="X126" s="25">
        <f t="shared" si="7"/>
        <v>0.21031288751195565</v>
      </c>
      <c r="Y126" s="27">
        <f t="shared" si="8"/>
        <v>8.7557405292237984</v>
      </c>
      <c r="Z126" s="25">
        <f t="shared" si="9"/>
        <v>0.153981189244699</v>
      </c>
      <c r="AA126" s="49">
        <f t="shared" si="10"/>
        <v>2010</v>
      </c>
      <c r="AB126" s="29">
        <f t="shared" si="11"/>
        <v>6.4105407678892163</v>
      </c>
      <c r="AC126" s="23">
        <f t="shared" si="12"/>
        <v>46</v>
      </c>
      <c r="AD126" s="23" t="str">
        <f t="shared" si="13"/>
        <v>No</v>
      </c>
    </row>
    <row r="127" spans="1:30" x14ac:dyDescent="0.3">
      <c r="A127" s="23">
        <v>126</v>
      </c>
      <c r="B127" s="21" t="s">
        <v>174</v>
      </c>
      <c r="C127" s="23" t="s">
        <v>449</v>
      </c>
      <c r="D127" s="23">
        <v>-3</v>
      </c>
      <c r="E127" s="23" t="s">
        <v>41</v>
      </c>
      <c r="F127" s="23" t="s">
        <v>42</v>
      </c>
      <c r="G127" s="25">
        <v>1.2</v>
      </c>
      <c r="H127" s="25">
        <v>1.024505584994331E-4</v>
      </c>
      <c r="I127" s="25">
        <v>0</v>
      </c>
      <c r="J127" s="25">
        <v>1.772563371724391E-4</v>
      </c>
      <c r="K127" s="25">
        <v>0</v>
      </c>
      <c r="L127" s="25">
        <v>0</v>
      </c>
      <c r="M127" s="25"/>
      <c r="N127" s="25">
        <v>0</v>
      </c>
      <c r="O127" s="25">
        <v>0</v>
      </c>
      <c r="P127" s="25">
        <v>0</v>
      </c>
      <c r="Q127" s="25">
        <v>0</v>
      </c>
      <c r="R127" s="25">
        <v>0</v>
      </c>
      <c r="S127" s="25"/>
      <c r="T127" s="25">
        <v>0</v>
      </c>
      <c r="U127" s="25">
        <v>0</v>
      </c>
      <c r="V127" s="25">
        <v>0</v>
      </c>
      <c r="W127" s="25">
        <v>0</v>
      </c>
      <c r="X127" s="25">
        <f t="shared" si="7"/>
        <v>2.7970689567187218E-4</v>
      </c>
      <c r="Y127" s="27">
        <f t="shared" si="8"/>
        <v>2.3308907972656018E-2</v>
      </c>
      <c r="Z127" s="25">
        <f t="shared" si="9"/>
        <v>1.772563371724391E-4</v>
      </c>
      <c r="AA127" s="49">
        <f t="shared" si="10"/>
        <v>2012</v>
      </c>
      <c r="AB127" s="29">
        <f t="shared" si="11"/>
        <v>1.4771361431036592E-2</v>
      </c>
      <c r="AC127" s="23">
        <f t="shared" si="12"/>
        <v>224</v>
      </c>
      <c r="AD127" s="23" t="str">
        <f t="shared" si="13"/>
        <v>No</v>
      </c>
    </row>
    <row r="128" spans="1:30" x14ac:dyDescent="0.3">
      <c r="A128" s="23">
        <v>127</v>
      </c>
      <c r="B128" s="21" t="s">
        <v>175</v>
      </c>
      <c r="C128" s="23" t="s">
        <v>450</v>
      </c>
      <c r="D128" s="23">
        <v>-2</v>
      </c>
      <c r="E128" s="23" t="s">
        <v>44</v>
      </c>
      <c r="F128" s="23" t="s">
        <v>42</v>
      </c>
      <c r="G128" s="25">
        <v>2.4940000000000002</v>
      </c>
      <c r="H128" s="25">
        <v>7.9086331739790738E-2</v>
      </c>
      <c r="I128" s="25">
        <v>0</v>
      </c>
      <c r="J128" s="25">
        <v>0</v>
      </c>
      <c r="K128" s="25">
        <v>0</v>
      </c>
      <c r="L128" s="25">
        <v>0</v>
      </c>
      <c r="M128" s="25"/>
      <c r="N128" s="25">
        <v>0</v>
      </c>
      <c r="O128" s="25">
        <v>0</v>
      </c>
      <c r="P128" s="25">
        <v>0</v>
      </c>
      <c r="Q128" s="25">
        <v>0</v>
      </c>
      <c r="R128" s="25">
        <v>0</v>
      </c>
      <c r="S128" s="25"/>
      <c r="T128" s="25">
        <v>2.2388488406076794E-4</v>
      </c>
      <c r="U128" s="25">
        <v>0</v>
      </c>
      <c r="V128" s="25">
        <v>0</v>
      </c>
      <c r="W128" s="25">
        <v>0</v>
      </c>
      <c r="X128" s="25">
        <f t="shared" si="7"/>
        <v>7.9310216623851501E-2</v>
      </c>
      <c r="Y128" s="27">
        <f t="shared" si="8"/>
        <v>3.1800407627847429</v>
      </c>
      <c r="Z128" s="25">
        <f t="shared" si="9"/>
        <v>7.9086331739790738E-2</v>
      </c>
      <c r="AA128" s="49">
        <f t="shared" si="10"/>
        <v>2010</v>
      </c>
      <c r="AB128" s="29">
        <f t="shared" si="11"/>
        <v>3.1710638227662677</v>
      </c>
      <c r="AC128" s="23">
        <f t="shared" si="12"/>
        <v>83</v>
      </c>
      <c r="AD128" s="23" t="str">
        <f t="shared" si="13"/>
        <v>No</v>
      </c>
    </row>
    <row r="129" spans="1:30" x14ac:dyDescent="0.3">
      <c r="A129" s="23">
        <v>128</v>
      </c>
      <c r="B129" s="21" t="s">
        <v>176</v>
      </c>
      <c r="C129" s="23" t="s">
        <v>451</v>
      </c>
      <c r="D129" s="23">
        <v>-3</v>
      </c>
      <c r="E129" s="23" t="s">
        <v>41</v>
      </c>
      <c r="F129" s="23" t="s">
        <v>42</v>
      </c>
      <c r="G129" s="25">
        <v>2.7480000000000002</v>
      </c>
      <c r="H129" s="25">
        <v>0.13462443518398179</v>
      </c>
      <c r="I129" s="25">
        <v>0.49112881076852954</v>
      </c>
      <c r="J129" s="25">
        <v>1.0370078499705704E-3</v>
      </c>
      <c r="K129" s="25">
        <v>0</v>
      </c>
      <c r="L129" s="25">
        <v>0</v>
      </c>
      <c r="M129" s="25"/>
      <c r="N129" s="25">
        <v>1.8391098591582031E-3</v>
      </c>
      <c r="O129" s="25">
        <v>2.7962118444847876E-4</v>
      </c>
      <c r="P129" s="25">
        <v>1.6631936649396084E-4</v>
      </c>
      <c r="Q129" s="25">
        <v>0</v>
      </c>
      <c r="R129" s="25">
        <v>1.6674398404778114E-2</v>
      </c>
      <c r="S129" s="25"/>
      <c r="T129" s="25">
        <v>7.1696369352749235E-3</v>
      </c>
      <c r="U129" s="25">
        <v>1.5478317954181693E-4</v>
      </c>
      <c r="V129" s="25">
        <v>1.9371382605640683E-3</v>
      </c>
      <c r="W129" s="25">
        <v>0</v>
      </c>
      <c r="X129" s="25">
        <f t="shared" si="7"/>
        <v>0.65501126099274143</v>
      </c>
      <c r="Y129" s="27">
        <f t="shared" si="8"/>
        <v>23.835926528120137</v>
      </c>
      <c r="Z129" s="25">
        <f t="shared" si="9"/>
        <v>0.49112881076852954</v>
      </c>
      <c r="AA129" s="49">
        <f t="shared" si="10"/>
        <v>2011</v>
      </c>
      <c r="AB129" s="29">
        <f t="shared" si="11"/>
        <v>17.872227466103695</v>
      </c>
      <c r="AC129" s="23">
        <f t="shared" si="12"/>
        <v>15</v>
      </c>
      <c r="AD129" s="23" t="str">
        <f t="shared" si="13"/>
        <v>Yes</v>
      </c>
    </row>
    <row r="130" spans="1:30" x14ac:dyDescent="0.3">
      <c r="A130" s="23">
        <v>129</v>
      </c>
      <c r="B130" s="21" t="s">
        <v>177</v>
      </c>
      <c r="C130" s="23" t="s">
        <v>452</v>
      </c>
      <c r="D130" s="23">
        <v>-3</v>
      </c>
      <c r="E130" s="23" t="s">
        <v>41</v>
      </c>
      <c r="F130" s="23" t="s">
        <v>42</v>
      </c>
      <c r="G130" s="25">
        <v>2.8450000000000002</v>
      </c>
      <c r="H130" s="25">
        <v>0</v>
      </c>
      <c r="I130" s="25">
        <v>4.4888707534683633E-4</v>
      </c>
      <c r="J130" s="25">
        <v>0</v>
      </c>
      <c r="K130" s="25">
        <v>0</v>
      </c>
      <c r="L130" s="25">
        <v>0</v>
      </c>
      <c r="M130" s="25"/>
      <c r="N130" s="25">
        <v>0</v>
      </c>
      <c r="O130" s="25">
        <v>0</v>
      </c>
      <c r="P130" s="25">
        <v>0</v>
      </c>
      <c r="Q130" s="25">
        <v>0</v>
      </c>
      <c r="R130" s="25">
        <v>0</v>
      </c>
      <c r="S130" s="25"/>
      <c r="T130" s="25">
        <v>3.970948258357821E-4</v>
      </c>
      <c r="U130" s="25">
        <v>0</v>
      </c>
      <c r="V130" s="25">
        <v>0</v>
      </c>
      <c r="W130" s="25">
        <v>0</v>
      </c>
      <c r="X130" s="25">
        <f t="shared" ref="X130:X193" si="14">SUM(H130:W130)</f>
        <v>8.4598190118261843E-4</v>
      </c>
      <c r="Y130" s="27">
        <f t="shared" ref="Y130:Y193" si="15">X130/G130*100</f>
        <v>2.973574345105864E-2</v>
      </c>
      <c r="Z130" s="25">
        <f t="shared" ref="Z130:Z193" si="16">MAX(H130:W130)</f>
        <v>4.4888707534683633E-4</v>
      </c>
      <c r="AA130" s="49">
        <f t="shared" ref="AA130:AA193" si="17">2010+MATCH(Z130,H130:W130,0)-1</f>
        <v>2011</v>
      </c>
      <c r="AB130" s="29">
        <f t="shared" ref="AB130:AB193" si="18">Z130/G130*100</f>
        <v>1.5778104581611118E-2</v>
      </c>
      <c r="AC130" s="23">
        <f t="shared" ref="AC130:AC193" si="19">IF(F130="Valid",RANK(AB130,$AB$2:$AB$240,0),"")</f>
        <v>223</v>
      </c>
      <c r="AD130" s="23" t="str">
        <f t="shared" ref="AD130:AD193" si="20">IF(AND(F130="Valid",AC130&lt;=24),"Yes","No")</f>
        <v>No</v>
      </c>
    </row>
    <row r="131" spans="1:30" x14ac:dyDescent="0.3">
      <c r="A131" s="23">
        <v>130</v>
      </c>
      <c r="B131" s="21" t="s">
        <v>178</v>
      </c>
      <c r="C131" s="23" t="s">
        <v>453</v>
      </c>
      <c r="D131" s="23">
        <v>-2</v>
      </c>
      <c r="E131" s="23" t="s">
        <v>44</v>
      </c>
      <c r="F131" s="23" t="s">
        <v>42</v>
      </c>
      <c r="G131" s="25">
        <v>2.6890000000000001</v>
      </c>
      <c r="H131" s="25">
        <v>0</v>
      </c>
      <c r="I131" s="25">
        <v>0</v>
      </c>
      <c r="J131" s="25">
        <v>4.0511510254559105E-4</v>
      </c>
      <c r="K131" s="25">
        <v>0</v>
      </c>
      <c r="L131" s="25">
        <v>0</v>
      </c>
      <c r="M131" s="25"/>
      <c r="N131" s="25">
        <v>3.4954146963939999E-4</v>
      </c>
      <c r="O131" s="25">
        <v>6.7248480109433875E-4</v>
      </c>
      <c r="P131" s="25">
        <v>0</v>
      </c>
      <c r="Q131" s="25">
        <v>0</v>
      </c>
      <c r="R131" s="25">
        <v>3.0044458164550671E-2</v>
      </c>
      <c r="S131" s="25"/>
      <c r="T131" s="25">
        <v>5.3140412393900369E-2</v>
      </c>
      <c r="U131" s="25">
        <v>9.7428938509197904E-5</v>
      </c>
      <c r="V131" s="25">
        <v>2.1761975893486524E-2</v>
      </c>
      <c r="W131" s="25">
        <v>0</v>
      </c>
      <c r="X131" s="25">
        <f t="shared" si="14"/>
        <v>0.1064714167637261</v>
      </c>
      <c r="Y131" s="27">
        <f t="shared" si="15"/>
        <v>3.9595171723215352</v>
      </c>
      <c r="Z131" s="25">
        <f t="shared" si="16"/>
        <v>5.3140412393900369E-2</v>
      </c>
      <c r="AA131" s="49">
        <f t="shared" si="17"/>
        <v>2022</v>
      </c>
      <c r="AB131" s="29">
        <f t="shared" si="18"/>
        <v>1.9762146669356777</v>
      </c>
      <c r="AC131" s="23">
        <f t="shared" si="19"/>
        <v>111</v>
      </c>
      <c r="AD131" s="23" t="str">
        <f t="shared" si="20"/>
        <v>No</v>
      </c>
    </row>
    <row r="132" spans="1:30" x14ac:dyDescent="0.3">
      <c r="A132" s="23">
        <v>131</v>
      </c>
      <c r="B132" s="21" t="s">
        <v>179</v>
      </c>
      <c r="C132" s="23" t="s">
        <v>454</v>
      </c>
      <c r="D132" s="23">
        <v>-2</v>
      </c>
      <c r="E132" s="23" t="s">
        <v>44</v>
      </c>
      <c r="F132" s="23" t="s">
        <v>42</v>
      </c>
      <c r="G132" s="25">
        <v>3.8380000000000001</v>
      </c>
      <c r="H132" s="25">
        <v>0</v>
      </c>
      <c r="I132" s="25">
        <v>2.3367547182388603E-2</v>
      </c>
      <c r="J132" s="25">
        <v>3.3420065933997101E-4</v>
      </c>
      <c r="K132" s="25">
        <v>0</v>
      </c>
      <c r="L132" s="25">
        <v>0</v>
      </c>
      <c r="M132" s="25"/>
      <c r="N132" s="25">
        <v>0</v>
      </c>
      <c r="O132" s="25">
        <v>1.1914047257404309E-4</v>
      </c>
      <c r="P132" s="25">
        <v>0</v>
      </c>
      <c r="Q132" s="25">
        <v>0</v>
      </c>
      <c r="R132" s="25">
        <v>3.0006375594495333E-4</v>
      </c>
      <c r="S132" s="25"/>
      <c r="T132" s="25">
        <v>5.0212032225846167E-3</v>
      </c>
      <c r="U132" s="25">
        <v>1.299942255525384E-4</v>
      </c>
      <c r="V132" s="25">
        <v>2.8313499958487228E-4</v>
      </c>
      <c r="W132" s="25">
        <v>0</v>
      </c>
      <c r="X132" s="25">
        <f t="shared" si="14"/>
        <v>2.9555284517969595E-2</v>
      </c>
      <c r="Y132" s="27">
        <f t="shared" si="15"/>
        <v>0.77006994575220411</v>
      </c>
      <c r="Z132" s="25">
        <f t="shared" si="16"/>
        <v>2.3367547182388603E-2</v>
      </c>
      <c r="AA132" s="49">
        <f t="shared" si="17"/>
        <v>2011</v>
      </c>
      <c r="AB132" s="29">
        <f t="shared" si="18"/>
        <v>0.60884698234467438</v>
      </c>
      <c r="AC132" s="23">
        <f t="shared" si="19"/>
        <v>164</v>
      </c>
      <c r="AD132" s="23" t="str">
        <f t="shared" si="20"/>
        <v>No</v>
      </c>
    </row>
    <row r="133" spans="1:30" x14ac:dyDescent="0.3">
      <c r="A133" s="23">
        <v>132</v>
      </c>
      <c r="B133" s="21" t="s">
        <v>180</v>
      </c>
      <c r="C133" s="23" t="s">
        <v>455</v>
      </c>
      <c r="D133" s="23">
        <v>-3</v>
      </c>
      <c r="E133" s="23" t="s">
        <v>41</v>
      </c>
      <c r="F133" s="23" t="s">
        <v>42</v>
      </c>
      <c r="G133" s="25">
        <v>1.0049999999999999</v>
      </c>
      <c r="H133" s="25">
        <v>2.3024250161806391E-2</v>
      </c>
      <c r="I133" s="25">
        <v>1.5696537414512015E-2</v>
      </c>
      <c r="J133" s="25">
        <v>0</v>
      </c>
      <c r="K133" s="25">
        <v>0</v>
      </c>
      <c r="L133" s="25">
        <v>0</v>
      </c>
      <c r="M133" s="25"/>
      <c r="N133" s="25">
        <v>0</v>
      </c>
      <c r="O133" s="25">
        <v>0</v>
      </c>
      <c r="P133" s="25">
        <v>0</v>
      </c>
      <c r="Q133" s="25">
        <v>0</v>
      </c>
      <c r="R133" s="25">
        <v>0</v>
      </c>
      <c r="S133" s="25"/>
      <c r="T133" s="25">
        <v>3.1552906017866917E-5</v>
      </c>
      <c r="U133" s="25">
        <v>0</v>
      </c>
      <c r="V133" s="25">
        <v>0</v>
      </c>
      <c r="W133" s="25">
        <v>0</v>
      </c>
      <c r="X133" s="25">
        <f t="shared" si="14"/>
        <v>3.8752340482336271E-2</v>
      </c>
      <c r="Y133" s="27">
        <f t="shared" si="15"/>
        <v>3.8559542768493804</v>
      </c>
      <c r="Z133" s="25">
        <f t="shared" si="16"/>
        <v>2.3024250161806391E-2</v>
      </c>
      <c r="AA133" s="49">
        <f t="shared" si="17"/>
        <v>2010</v>
      </c>
      <c r="AB133" s="29">
        <f t="shared" si="18"/>
        <v>2.2909701653538699</v>
      </c>
      <c r="AC133" s="23">
        <f t="shared" si="19"/>
        <v>105</v>
      </c>
      <c r="AD133" s="23" t="str">
        <f t="shared" si="20"/>
        <v>No</v>
      </c>
    </row>
    <row r="134" spans="1:30" x14ac:dyDescent="0.3">
      <c r="A134" s="23">
        <v>133</v>
      </c>
      <c r="B134" s="21" t="s">
        <v>181</v>
      </c>
      <c r="C134" s="23" t="s">
        <v>456</v>
      </c>
      <c r="D134" s="23">
        <v>-3</v>
      </c>
      <c r="E134" s="23" t="s">
        <v>41</v>
      </c>
      <c r="F134" s="23" t="s">
        <v>42</v>
      </c>
      <c r="G134" s="25">
        <v>3.2549999999999999</v>
      </c>
      <c r="H134" s="25">
        <v>0.76049732545147863</v>
      </c>
      <c r="I134" s="25">
        <v>0.14616607357560096</v>
      </c>
      <c r="J134" s="25">
        <v>0</v>
      </c>
      <c r="K134" s="25">
        <v>0</v>
      </c>
      <c r="L134" s="25">
        <v>0</v>
      </c>
      <c r="M134" s="25"/>
      <c r="N134" s="25">
        <v>0</v>
      </c>
      <c r="O134" s="25">
        <v>0</v>
      </c>
      <c r="P134" s="25">
        <v>2.8372460825224697E-4</v>
      </c>
      <c r="Q134" s="25">
        <v>0</v>
      </c>
      <c r="R134" s="25">
        <v>0</v>
      </c>
      <c r="S134" s="25"/>
      <c r="T134" s="25">
        <v>1.2454215001990088E-4</v>
      </c>
      <c r="U134" s="25">
        <v>0</v>
      </c>
      <c r="V134" s="25">
        <v>0</v>
      </c>
      <c r="W134" s="25">
        <v>1.1878333207627292E-4</v>
      </c>
      <c r="X134" s="25">
        <f t="shared" si="14"/>
        <v>0.90719044911742797</v>
      </c>
      <c r="Y134" s="27">
        <f t="shared" si="15"/>
        <v>27.870674320043872</v>
      </c>
      <c r="Z134" s="25">
        <f t="shared" si="16"/>
        <v>0.76049732545147863</v>
      </c>
      <c r="AA134" s="49">
        <f t="shared" si="17"/>
        <v>2010</v>
      </c>
      <c r="AB134" s="29">
        <f t="shared" si="18"/>
        <v>23.36397313214988</v>
      </c>
      <c r="AC134" s="23">
        <f t="shared" si="19"/>
        <v>10</v>
      </c>
      <c r="AD134" s="23" t="str">
        <f t="shared" si="20"/>
        <v>Yes</v>
      </c>
    </row>
    <row r="135" spans="1:30" x14ac:dyDescent="0.3">
      <c r="A135" s="23">
        <v>134</v>
      </c>
      <c r="B135" s="21" t="s">
        <v>182</v>
      </c>
      <c r="C135" s="23" t="s">
        <v>457</v>
      </c>
      <c r="D135" s="23">
        <v>-2</v>
      </c>
      <c r="E135" s="23" t="s">
        <v>44</v>
      </c>
      <c r="F135" s="23" t="s">
        <v>42</v>
      </c>
      <c r="G135" s="25">
        <v>1.649</v>
      </c>
      <c r="H135" s="25">
        <v>7.0932785542490828E-2</v>
      </c>
      <c r="I135" s="25">
        <v>4.8914715604986992E-3</v>
      </c>
      <c r="J135" s="25">
        <v>5.2298605777337801E-4</v>
      </c>
      <c r="K135" s="25">
        <v>0</v>
      </c>
      <c r="L135" s="25">
        <v>0</v>
      </c>
      <c r="M135" s="25"/>
      <c r="N135" s="25">
        <v>0</v>
      </c>
      <c r="O135" s="25">
        <v>0</v>
      </c>
      <c r="P135" s="25">
        <v>0</v>
      </c>
      <c r="Q135" s="25">
        <v>0</v>
      </c>
      <c r="R135" s="25">
        <v>0</v>
      </c>
      <c r="S135" s="25"/>
      <c r="T135" s="25">
        <v>0</v>
      </c>
      <c r="U135" s="25">
        <v>2.2985696259397126E-4</v>
      </c>
      <c r="V135" s="25">
        <v>0</v>
      </c>
      <c r="W135" s="25">
        <v>0</v>
      </c>
      <c r="X135" s="25">
        <f t="shared" si="14"/>
        <v>7.6577100123356875E-2</v>
      </c>
      <c r="Y135" s="27">
        <f t="shared" si="15"/>
        <v>4.6438508261586939</v>
      </c>
      <c r="Z135" s="25">
        <f t="shared" si="16"/>
        <v>7.0932785542490828E-2</v>
      </c>
      <c r="AA135" s="49">
        <f t="shared" si="17"/>
        <v>2010</v>
      </c>
      <c r="AB135" s="29">
        <f t="shared" si="18"/>
        <v>4.3015637078526883</v>
      </c>
      <c r="AC135" s="23">
        <f t="shared" si="19"/>
        <v>61</v>
      </c>
      <c r="AD135" s="23" t="str">
        <f t="shared" si="20"/>
        <v>No</v>
      </c>
    </row>
    <row r="136" spans="1:30" x14ac:dyDescent="0.3">
      <c r="A136" s="23">
        <v>135</v>
      </c>
      <c r="B136" s="21" t="s">
        <v>183</v>
      </c>
      <c r="C136" s="23" t="s">
        <v>458</v>
      </c>
      <c r="D136" s="23">
        <v>-3</v>
      </c>
      <c r="E136" s="23" t="s">
        <v>41</v>
      </c>
      <c r="F136" s="23" t="s">
        <v>42</v>
      </c>
      <c r="G136" s="25">
        <v>2.2130000000000001</v>
      </c>
      <c r="H136" s="25">
        <v>0</v>
      </c>
      <c r="I136" s="25">
        <v>0</v>
      </c>
      <c r="J136" s="25">
        <v>1.4263433820791251E-3</v>
      </c>
      <c r="K136" s="25">
        <v>0</v>
      </c>
      <c r="L136" s="25">
        <v>7.8463302925229074E-5</v>
      </c>
      <c r="M136" s="25"/>
      <c r="N136" s="25">
        <v>0</v>
      </c>
      <c r="O136" s="25">
        <v>0</v>
      </c>
      <c r="P136" s="25">
        <v>0</v>
      </c>
      <c r="Q136" s="25">
        <v>0</v>
      </c>
      <c r="R136" s="25">
        <v>0</v>
      </c>
      <c r="S136" s="25"/>
      <c r="T136" s="25">
        <v>1.1433399432635633E-3</v>
      </c>
      <c r="U136" s="25">
        <v>0</v>
      </c>
      <c r="V136" s="25">
        <v>0</v>
      </c>
      <c r="W136" s="25">
        <v>0</v>
      </c>
      <c r="X136" s="25">
        <f t="shared" si="14"/>
        <v>2.6481466282679174E-3</v>
      </c>
      <c r="Y136" s="27">
        <f t="shared" si="15"/>
        <v>0.11966320055435686</v>
      </c>
      <c r="Z136" s="25">
        <f t="shared" si="16"/>
        <v>1.4263433820791251E-3</v>
      </c>
      <c r="AA136" s="49">
        <f t="shared" si="17"/>
        <v>2012</v>
      </c>
      <c r="AB136" s="29">
        <f t="shared" si="18"/>
        <v>6.4452931860782867E-2</v>
      </c>
      <c r="AC136" s="23">
        <f t="shared" si="19"/>
        <v>209</v>
      </c>
      <c r="AD136" s="23" t="str">
        <f t="shared" si="20"/>
        <v>No</v>
      </c>
    </row>
    <row r="137" spans="1:30" x14ac:dyDescent="0.3">
      <c r="A137" s="23">
        <v>136</v>
      </c>
      <c r="B137" s="21" t="s">
        <v>184</v>
      </c>
      <c r="C137" s="23" t="s">
        <v>459</v>
      </c>
      <c r="D137" s="23">
        <v>-3</v>
      </c>
      <c r="E137" s="23" t="s">
        <v>41</v>
      </c>
      <c r="F137" s="23" t="s">
        <v>42</v>
      </c>
      <c r="G137" s="25">
        <v>3.0910000000000002</v>
      </c>
      <c r="H137" s="25">
        <v>3.2039114497716655E-3</v>
      </c>
      <c r="I137" s="25">
        <v>6.5955694584983867E-3</v>
      </c>
      <c r="J137" s="25">
        <v>2.870230544527294E-4</v>
      </c>
      <c r="K137" s="25">
        <v>0</v>
      </c>
      <c r="L137" s="25">
        <v>0</v>
      </c>
      <c r="M137" s="25"/>
      <c r="N137" s="25">
        <v>0</v>
      </c>
      <c r="O137" s="25">
        <v>0</v>
      </c>
      <c r="P137" s="25">
        <v>0</v>
      </c>
      <c r="Q137" s="25">
        <v>0</v>
      </c>
      <c r="R137" s="25">
        <v>0</v>
      </c>
      <c r="S137" s="25"/>
      <c r="T137" s="25">
        <v>1.7000489938632818E-3</v>
      </c>
      <c r="U137" s="25">
        <v>0</v>
      </c>
      <c r="V137" s="25">
        <v>0</v>
      </c>
      <c r="W137" s="25">
        <v>0</v>
      </c>
      <c r="X137" s="25">
        <f t="shared" si="14"/>
        <v>1.1786552956586064E-2</v>
      </c>
      <c r="Y137" s="27">
        <f t="shared" si="15"/>
        <v>0.38131843922957182</v>
      </c>
      <c r="Z137" s="25">
        <f t="shared" si="16"/>
        <v>6.5955694584983867E-3</v>
      </c>
      <c r="AA137" s="49">
        <f t="shared" si="17"/>
        <v>2011</v>
      </c>
      <c r="AB137" s="29">
        <f t="shared" si="18"/>
        <v>0.21337979483980543</v>
      </c>
      <c r="AC137" s="23">
        <f t="shared" si="19"/>
        <v>183</v>
      </c>
      <c r="AD137" s="23" t="str">
        <f t="shared" si="20"/>
        <v>No</v>
      </c>
    </row>
    <row r="138" spans="1:30" x14ac:dyDescent="0.3">
      <c r="A138" s="23">
        <v>137</v>
      </c>
      <c r="B138" s="21" t="s">
        <v>185</v>
      </c>
      <c r="C138" s="23" t="s">
        <v>460</v>
      </c>
      <c r="D138" s="23">
        <v>-2</v>
      </c>
      <c r="E138" s="23" t="s">
        <v>44</v>
      </c>
      <c r="F138" s="23" t="s">
        <v>42</v>
      </c>
      <c r="G138" s="25">
        <v>2.78</v>
      </c>
      <c r="H138" s="25">
        <v>5.4930211549907113E-4</v>
      </c>
      <c r="I138" s="25">
        <v>0</v>
      </c>
      <c r="J138" s="25">
        <v>0</v>
      </c>
      <c r="K138" s="25">
        <v>0</v>
      </c>
      <c r="L138" s="25">
        <v>0</v>
      </c>
      <c r="M138" s="25"/>
      <c r="N138" s="25">
        <v>0</v>
      </c>
      <c r="O138" s="25">
        <v>0</v>
      </c>
      <c r="P138" s="25">
        <v>0</v>
      </c>
      <c r="Q138" s="25">
        <v>0</v>
      </c>
      <c r="R138" s="25">
        <v>0</v>
      </c>
      <c r="S138" s="25"/>
      <c r="T138" s="25">
        <v>8.3477855515524807E-2</v>
      </c>
      <c r="U138" s="25">
        <v>8.1814057548348505E-5</v>
      </c>
      <c r="V138" s="25">
        <v>0</v>
      </c>
      <c r="W138" s="25">
        <v>0</v>
      </c>
      <c r="X138" s="25">
        <f t="shared" si="14"/>
        <v>8.4108971688572232E-2</v>
      </c>
      <c r="Y138" s="27">
        <f t="shared" si="15"/>
        <v>3.0255025787256198</v>
      </c>
      <c r="Z138" s="25">
        <f t="shared" si="16"/>
        <v>8.3477855515524807E-2</v>
      </c>
      <c r="AA138" s="49">
        <f t="shared" si="17"/>
        <v>2022</v>
      </c>
      <c r="AB138" s="29">
        <f t="shared" si="18"/>
        <v>3.0028005581124035</v>
      </c>
      <c r="AC138" s="23">
        <f t="shared" si="19"/>
        <v>87</v>
      </c>
      <c r="AD138" s="23" t="str">
        <f t="shared" si="20"/>
        <v>No</v>
      </c>
    </row>
    <row r="139" spans="1:30" x14ac:dyDescent="0.3">
      <c r="A139" s="23">
        <v>138</v>
      </c>
      <c r="B139" s="21" t="s">
        <v>186</v>
      </c>
      <c r="C139" s="23" t="s">
        <v>461</v>
      </c>
      <c r="D139" s="23">
        <v>-2</v>
      </c>
      <c r="E139" s="23" t="s">
        <v>44</v>
      </c>
      <c r="F139" s="23" t="s">
        <v>42</v>
      </c>
      <c r="G139" s="25">
        <v>0.66100000000000003</v>
      </c>
      <c r="H139" s="25">
        <v>0</v>
      </c>
      <c r="I139" s="25">
        <v>0</v>
      </c>
      <c r="J139" s="25">
        <v>0</v>
      </c>
      <c r="K139" s="25">
        <v>0</v>
      </c>
      <c r="L139" s="25">
        <v>0</v>
      </c>
      <c r="M139" s="25"/>
      <c r="N139" s="25">
        <v>0</v>
      </c>
      <c r="O139" s="25">
        <v>0</v>
      </c>
      <c r="P139" s="25">
        <v>0</v>
      </c>
      <c r="Q139" s="25">
        <v>0</v>
      </c>
      <c r="R139" s="25">
        <v>0</v>
      </c>
      <c r="S139" s="25"/>
      <c r="T139" s="25">
        <v>0</v>
      </c>
      <c r="U139" s="25">
        <v>0</v>
      </c>
      <c r="V139" s="25">
        <v>0</v>
      </c>
      <c r="W139" s="25">
        <v>0</v>
      </c>
      <c r="X139" s="25">
        <f t="shared" si="14"/>
        <v>0</v>
      </c>
      <c r="Y139" s="27">
        <f t="shared" si="15"/>
        <v>0</v>
      </c>
      <c r="Z139" s="25">
        <f t="shared" si="16"/>
        <v>0</v>
      </c>
      <c r="AA139" s="49">
        <f t="shared" si="17"/>
        <v>2010</v>
      </c>
      <c r="AB139" s="29">
        <f t="shared" si="18"/>
        <v>0</v>
      </c>
      <c r="AC139" s="23">
        <f t="shared" si="19"/>
        <v>232</v>
      </c>
      <c r="AD139" s="23" t="str">
        <f t="shared" si="20"/>
        <v>No</v>
      </c>
    </row>
    <row r="140" spans="1:30" x14ac:dyDescent="0.3">
      <c r="A140" s="23">
        <v>139</v>
      </c>
      <c r="B140" s="21" t="s">
        <v>187</v>
      </c>
      <c r="C140" s="23" t="s">
        <v>462</v>
      </c>
      <c r="D140" s="23">
        <v>-2</v>
      </c>
      <c r="E140" s="23" t="s">
        <v>44</v>
      </c>
      <c r="F140" s="23" t="s">
        <v>42</v>
      </c>
      <c r="G140" s="25">
        <v>0.95299999999999996</v>
      </c>
      <c r="H140" s="25">
        <v>0</v>
      </c>
      <c r="I140" s="25">
        <v>2.223613740358199E-2</v>
      </c>
      <c r="J140" s="25">
        <v>5.8359482893116362E-4</v>
      </c>
      <c r="K140" s="25">
        <v>0</v>
      </c>
      <c r="L140" s="25">
        <v>0</v>
      </c>
      <c r="M140" s="25"/>
      <c r="N140" s="25">
        <v>0</v>
      </c>
      <c r="O140" s="25">
        <v>2.2132936584026084E-4</v>
      </c>
      <c r="P140" s="25">
        <v>0</v>
      </c>
      <c r="Q140" s="25">
        <v>0</v>
      </c>
      <c r="R140" s="25">
        <v>3.1230941912857818E-4</v>
      </c>
      <c r="S140" s="25"/>
      <c r="T140" s="25">
        <v>2.5817275565073916E-3</v>
      </c>
      <c r="U140" s="25">
        <v>0</v>
      </c>
      <c r="V140" s="25">
        <v>9.8198840044077954E-4</v>
      </c>
      <c r="W140" s="25">
        <v>0</v>
      </c>
      <c r="X140" s="25">
        <f t="shared" si="14"/>
        <v>2.6917086974430165E-2</v>
      </c>
      <c r="Y140" s="27">
        <f t="shared" si="15"/>
        <v>2.8244582344627669</v>
      </c>
      <c r="Z140" s="25">
        <f t="shared" si="16"/>
        <v>2.223613740358199E-2</v>
      </c>
      <c r="AA140" s="49">
        <f t="shared" si="17"/>
        <v>2011</v>
      </c>
      <c r="AB140" s="29">
        <f t="shared" si="18"/>
        <v>2.3332777968081841</v>
      </c>
      <c r="AC140" s="23">
        <f t="shared" si="19"/>
        <v>101</v>
      </c>
      <c r="AD140" s="23" t="str">
        <f t="shared" si="20"/>
        <v>No</v>
      </c>
    </row>
    <row r="141" spans="1:30" x14ac:dyDescent="0.3">
      <c r="A141" s="23">
        <v>140</v>
      </c>
      <c r="B141" s="21" t="s">
        <v>188</v>
      </c>
      <c r="C141" s="23" t="s">
        <v>463</v>
      </c>
      <c r="D141" s="23">
        <v>-2</v>
      </c>
      <c r="E141" s="23" t="s">
        <v>44</v>
      </c>
      <c r="F141" s="23" t="s">
        <v>42</v>
      </c>
      <c r="G141" s="25">
        <v>1.7250000000000001</v>
      </c>
      <c r="H141" s="25">
        <v>0.7248767132522026</v>
      </c>
      <c r="I141" s="25">
        <v>0.25421663427921232</v>
      </c>
      <c r="J141" s="25">
        <v>0</v>
      </c>
      <c r="K141" s="25">
        <v>0</v>
      </c>
      <c r="L141" s="25">
        <v>0</v>
      </c>
      <c r="M141" s="25"/>
      <c r="N141" s="25">
        <v>0</v>
      </c>
      <c r="O141" s="25">
        <v>0</v>
      </c>
      <c r="P141" s="25">
        <v>7.6774111252103086E-3</v>
      </c>
      <c r="Q141" s="25">
        <v>0</v>
      </c>
      <c r="R141" s="25">
        <v>0</v>
      </c>
      <c r="S141" s="25"/>
      <c r="T141" s="25">
        <v>0</v>
      </c>
      <c r="U141" s="25">
        <v>1.9890135004906916E-4</v>
      </c>
      <c r="V141" s="25">
        <v>0</v>
      </c>
      <c r="W141" s="25">
        <v>1.6797208355489419E-4</v>
      </c>
      <c r="X141" s="25">
        <f t="shared" si="14"/>
        <v>0.9871376320902292</v>
      </c>
      <c r="Y141" s="27">
        <f t="shared" si="15"/>
        <v>57.225369976245169</v>
      </c>
      <c r="Z141" s="25">
        <f t="shared" si="16"/>
        <v>0.7248767132522026</v>
      </c>
      <c r="AA141" s="49">
        <f t="shared" si="17"/>
        <v>2010</v>
      </c>
      <c r="AB141" s="29">
        <f t="shared" si="18"/>
        <v>42.021838449403049</v>
      </c>
      <c r="AC141" s="23">
        <f t="shared" si="19"/>
        <v>2</v>
      </c>
      <c r="AD141" s="23" t="str">
        <f t="shared" si="20"/>
        <v>Yes</v>
      </c>
    </row>
    <row r="142" spans="1:30" x14ac:dyDescent="0.3">
      <c r="A142" s="23">
        <v>141</v>
      </c>
      <c r="B142" s="21" t="s">
        <v>189</v>
      </c>
      <c r="C142" s="23" t="s">
        <v>464</v>
      </c>
      <c r="D142" s="23">
        <v>-2</v>
      </c>
      <c r="E142" s="23" t="s">
        <v>44</v>
      </c>
      <c r="F142" s="23" t="s">
        <v>42</v>
      </c>
      <c r="G142" s="25">
        <v>1.591</v>
      </c>
      <c r="H142" s="25">
        <v>5.2806349196920871E-2</v>
      </c>
      <c r="I142" s="25">
        <v>0</v>
      </c>
      <c r="J142" s="25">
        <v>2.6020113455702085E-4</v>
      </c>
      <c r="K142" s="25">
        <v>0</v>
      </c>
      <c r="L142" s="25">
        <v>0</v>
      </c>
      <c r="M142" s="25"/>
      <c r="N142" s="25">
        <v>0</v>
      </c>
      <c r="O142" s="25">
        <v>0</v>
      </c>
      <c r="P142" s="25">
        <v>0</v>
      </c>
      <c r="Q142" s="25">
        <v>0</v>
      </c>
      <c r="R142" s="25">
        <v>0</v>
      </c>
      <c r="S142" s="25"/>
      <c r="T142" s="25">
        <v>1.1962129889072385E-3</v>
      </c>
      <c r="U142" s="25">
        <v>0</v>
      </c>
      <c r="V142" s="25">
        <v>0</v>
      </c>
      <c r="W142" s="25">
        <v>0</v>
      </c>
      <c r="X142" s="25">
        <f t="shared" si="14"/>
        <v>5.4262763320385127E-2</v>
      </c>
      <c r="Y142" s="27">
        <f t="shared" si="15"/>
        <v>3.4106073740028364</v>
      </c>
      <c r="Z142" s="25">
        <f t="shared" si="16"/>
        <v>5.2806349196920871E-2</v>
      </c>
      <c r="AA142" s="49">
        <f t="shared" si="17"/>
        <v>2010</v>
      </c>
      <c r="AB142" s="29">
        <f t="shared" si="18"/>
        <v>3.3190665742879237</v>
      </c>
      <c r="AC142" s="23">
        <f t="shared" si="19"/>
        <v>81</v>
      </c>
      <c r="AD142" s="23" t="str">
        <f t="shared" si="20"/>
        <v>No</v>
      </c>
    </row>
    <row r="143" spans="1:30" x14ac:dyDescent="0.3">
      <c r="A143" s="23">
        <v>142</v>
      </c>
      <c r="B143" s="21" t="s">
        <v>190</v>
      </c>
      <c r="C143" s="23" t="s">
        <v>465</v>
      </c>
      <c r="D143" s="23">
        <v>-3</v>
      </c>
      <c r="E143" s="23" t="s">
        <v>41</v>
      </c>
      <c r="F143" s="23" t="s">
        <v>42</v>
      </c>
      <c r="G143" s="25">
        <v>2.4569999999999999</v>
      </c>
      <c r="H143" s="25">
        <v>4.0643144225127353E-2</v>
      </c>
      <c r="I143" s="25">
        <v>2.8174827490882251E-2</v>
      </c>
      <c r="J143" s="25">
        <v>1.8458020506189059E-3</v>
      </c>
      <c r="K143" s="25">
        <v>0</v>
      </c>
      <c r="L143" s="25">
        <v>0</v>
      </c>
      <c r="M143" s="25"/>
      <c r="N143" s="25">
        <v>5.3501760157564427E-4</v>
      </c>
      <c r="O143" s="25">
        <v>0</v>
      </c>
      <c r="P143" s="25">
        <v>2.9504602606226398E-4</v>
      </c>
      <c r="Q143" s="25">
        <v>0</v>
      </c>
      <c r="R143" s="25">
        <v>0</v>
      </c>
      <c r="S143" s="25"/>
      <c r="T143" s="25">
        <v>4.8662987174698151E-3</v>
      </c>
      <c r="U143" s="25">
        <v>0</v>
      </c>
      <c r="V143" s="25">
        <v>0</v>
      </c>
      <c r="W143" s="25">
        <v>0</v>
      </c>
      <c r="X143" s="25">
        <f t="shared" si="14"/>
        <v>7.636013611173624E-2</v>
      </c>
      <c r="Y143" s="27">
        <f t="shared" si="15"/>
        <v>3.1078606476083128</v>
      </c>
      <c r="Z143" s="25">
        <f t="shared" si="16"/>
        <v>4.0643144225127353E-2</v>
      </c>
      <c r="AA143" s="49">
        <f t="shared" si="17"/>
        <v>2010</v>
      </c>
      <c r="AB143" s="29">
        <f t="shared" si="18"/>
        <v>1.6541776241403077</v>
      </c>
      <c r="AC143" s="23">
        <f t="shared" si="19"/>
        <v>121</v>
      </c>
      <c r="AD143" s="23" t="str">
        <f t="shared" si="20"/>
        <v>No</v>
      </c>
    </row>
    <row r="144" spans="1:30" x14ac:dyDescent="0.3">
      <c r="A144" s="23">
        <v>143</v>
      </c>
      <c r="B144" s="21" t="s">
        <v>191</v>
      </c>
      <c r="C144" s="23" t="s">
        <v>466</v>
      </c>
      <c r="D144" s="23">
        <v>-4</v>
      </c>
      <c r="E144" s="23" t="s">
        <v>46</v>
      </c>
      <c r="F144" s="23" t="s">
        <v>42</v>
      </c>
      <c r="G144" s="25">
        <v>2.8340000000000001</v>
      </c>
      <c r="H144" s="25">
        <v>5.0180004029245696E-2</v>
      </c>
      <c r="I144" s="25">
        <v>1.6294705156005045E-2</v>
      </c>
      <c r="J144" s="25">
        <v>0</v>
      </c>
      <c r="K144" s="25">
        <v>0</v>
      </c>
      <c r="L144" s="25">
        <v>0</v>
      </c>
      <c r="M144" s="25"/>
      <c r="N144" s="25">
        <v>0</v>
      </c>
      <c r="O144" s="25">
        <v>0</v>
      </c>
      <c r="P144" s="25">
        <v>0</v>
      </c>
      <c r="Q144" s="25">
        <v>0</v>
      </c>
      <c r="R144" s="25">
        <v>0</v>
      </c>
      <c r="S144" s="25"/>
      <c r="T144" s="25">
        <v>5.6088145814738527E-3</v>
      </c>
      <c r="U144" s="25">
        <v>1.7340595005708746E-4</v>
      </c>
      <c r="V144" s="25">
        <v>0</v>
      </c>
      <c r="W144" s="25">
        <v>0</v>
      </c>
      <c r="X144" s="25">
        <f t="shared" si="14"/>
        <v>7.2256929716781687E-2</v>
      </c>
      <c r="Y144" s="27">
        <f t="shared" si="15"/>
        <v>2.5496446618483306</v>
      </c>
      <c r="Z144" s="25">
        <f t="shared" si="16"/>
        <v>5.0180004029245696E-2</v>
      </c>
      <c r="AA144" s="49">
        <f t="shared" si="17"/>
        <v>2010</v>
      </c>
      <c r="AB144" s="29">
        <f t="shared" si="18"/>
        <v>1.7706423440100809</v>
      </c>
      <c r="AC144" s="23">
        <f t="shared" si="19"/>
        <v>118</v>
      </c>
      <c r="AD144" s="23" t="str">
        <f t="shared" si="20"/>
        <v>No</v>
      </c>
    </row>
    <row r="145" spans="1:30" x14ac:dyDescent="0.3">
      <c r="A145" s="23">
        <v>144</v>
      </c>
      <c r="B145" s="21" t="s">
        <v>192</v>
      </c>
      <c r="C145" s="23" t="s">
        <v>467</v>
      </c>
      <c r="D145" s="23">
        <v>-1</v>
      </c>
      <c r="E145" s="23" t="s">
        <v>55</v>
      </c>
      <c r="F145" s="23" t="s">
        <v>42</v>
      </c>
      <c r="G145" s="25">
        <v>0.83199999999999996</v>
      </c>
      <c r="H145" s="25">
        <v>0</v>
      </c>
      <c r="I145" s="25">
        <v>0</v>
      </c>
      <c r="J145" s="25">
        <v>2.8120557793672486E-3</v>
      </c>
      <c r="K145" s="25">
        <v>0</v>
      </c>
      <c r="L145" s="25">
        <v>0</v>
      </c>
      <c r="M145" s="25"/>
      <c r="N145" s="25">
        <v>0</v>
      </c>
      <c r="O145" s="25">
        <v>0</v>
      </c>
      <c r="P145" s="25">
        <v>0</v>
      </c>
      <c r="Q145" s="25">
        <v>0</v>
      </c>
      <c r="R145" s="25">
        <v>0</v>
      </c>
      <c r="S145" s="25"/>
      <c r="T145" s="25">
        <v>3.0933749580574295E-4</v>
      </c>
      <c r="U145" s="25">
        <v>0</v>
      </c>
      <c r="V145" s="25">
        <v>0</v>
      </c>
      <c r="W145" s="25">
        <v>0</v>
      </c>
      <c r="X145" s="25">
        <f t="shared" si="14"/>
        <v>3.1213932751729917E-3</v>
      </c>
      <c r="Y145" s="27">
        <f t="shared" si="15"/>
        <v>0.37516746095829229</v>
      </c>
      <c r="Z145" s="25">
        <f t="shared" si="16"/>
        <v>2.8120557793672486E-3</v>
      </c>
      <c r="AA145" s="49">
        <f t="shared" si="17"/>
        <v>2012</v>
      </c>
      <c r="AB145" s="29">
        <f t="shared" si="18"/>
        <v>0.33798747348164049</v>
      </c>
      <c r="AC145" s="23">
        <f t="shared" si="19"/>
        <v>174</v>
      </c>
      <c r="AD145" s="23" t="str">
        <f t="shared" si="20"/>
        <v>No</v>
      </c>
    </row>
    <row r="146" spans="1:30" x14ac:dyDescent="0.3">
      <c r="A146" s="23">
        <v>145</v>
      </c>
      <c r="B146" s="21" t="s">
        <v>193</v>
      </c>
      <c r="C146" s="23" t="s">
        <v>468</v>
      </c>
      <c r="D146" s="23">
        <v>-2</v>
      </c>
      <c r="E146" s="23" t="s">
        <v>44</v>
      </c>
      <c r="F146" s="23" t="s">
        <v>42</v>
      </c>
      <c r="G146" s="25">
        <v>5.6130000000000004</v>
      </c>
      <c r="H146" s="25">
        <v>6.7263033667086386E-2</v>
      </c>
      <c r="I146" s="25">
        <v>2.3360649175983156E-2</v>
      </c>
      <c r="J146" s="25">
        <v>0</v>
      </c>
      <c r="K146" s="25">
        <v>0</v>
      </c>
      <c r="L146" s="25">
        <v>0</v>
      </c>
      <c r="M146" s="25"/>
      <c r="N146" s="25">
        <v>0</v>
      </c>
      <c r="O146" s="25">
        <v>0</v>
      </c>
      <c r="P146" s="25">
        <v>0</v>
      </c>
      <c r="Q146" s="25">
        <v>0</v>
      </c>
      <c r="R146" s="25">
        <v>0</v>
      </c>
      <c r="S146" s="25"/>
      <c r="T146" s="25">
        <v>2.2585889839683657E-3</v>
      </c>
      <c r="U146" s="25">
        <v>0</v>
      </c>
      <c r="V146" s="25">
        <v>5.8910655570263044E-4</v>
      </c>
      <c r="W146" s="25">
        <v>0</v>
      </c>
      <c r="X146" s="25">
        <f t="shared" si="14"/>
        <v>9.3471378382740541E-2</v>
      </c>
      <c r="Y146" s="27">
        <f t="shared" si="15"/>
        <v>1.6652659608540983</v>
      </c>
      <c r="Z146" s="25">
        <f t="shared" si="16"/>
        <v>6.7263033667086386E-2</v>
      </c>
      <c r="AA146" s="49">
        <f t="shared" si="17"/>
        <v>2010</v>
      </c>
      <c r="AB146" s="29">
        <f t="shared" si="18"/>
        <v>1.1983437318205306</v>
      </c>
      <c r="AC146" s="23">
        <f t="shared" si="19"/>
        <v>138</v>
      </c>
      <c r="AD146" s="23" t="str">
        <f t="shared" si="20"/>
        <v>No</v>
      </c>
    </row>
    <row r="147" spans="1:30" x14ac:dyDescent="0.3">
      <c r="A147" s="23">
        <v>146</v>
      </c>
      <c r="B147" s="21" t="s">
        <v>194</v>
      </c>
      <c r="C147" s="23" t="s">
        <v>469</v>
      </c>
      <c r="D147" s="23">
        <v>-3</v>
      </c>
      <c r="E147" s="23" t="s">
        <v>41</v>
      </c>
      <c r="F147" s="23" t="s">
        <v>42</v>
      </c>
      <c r="G147" s="25">
        <v>3.4220000000000002</v>
      </c>
      <c r="H147" s="25">
        <v>5.2561885050009E-4</v>
      </c>
      <c r="I147" s="25">
        <v>0</v>
      </c>
      <c r="J147" s="25">
        <v>0</v>
      </c>
      <c r="K147" s="25">
        <v>0</v>
      </c>
      <c r="L147" s="25">
        <v>0</v>
      </c>
      <c r="M147" s="25"/>
      <c r="N147" s="25">
        <v>0</v>
      </c>
      <c r="O147" s="25">
        <v>0</v>
      </c>
      <c r="P147" s="25">
        <v>0</v>
      </c>
      <c r="Q147" s="25">
        <v>0</v>
      </c>
      <c r="R147" s="25">
        <v>0</v>
      </c>
      <c r="S147" s="25"/>
      <c r="T147" s="25">
        <v>0.31108344127601362</v>
      </c>
      <c r="U147" s="25">
        <v>1.489669662031377E-2</v>
      </c>
      <c r="V147" s="25">
        <v>0</v>
      </c>
      <c r="W147" s="25">
        <v>0</v>
      </c>
      <c r="X147" s="25">
        <f t="shared" si="14"/>
        <v>0.32650575674682747</v>
      </c>
      <c r="Y147" s="27">
        <f t="shared" si="15"/>
        <v>9.541372201835987</v>
      </c>
      <c r="Z147" s="25">
        <f t="shared" si="16"/>
        <v>0.31108344127601362</v>
      </c>
      <c r="AA147" s="49">
        <f t="shared" si="17"/>
        <v>2022</v>
      </c>
      <c r="AB147" s="29">
        <f t="shared" si="18"/>
        <v>9.0906908613680191</v>
      </c>
      <c r="AC147" s="23">
        <f t="shared" si="19"/>
        <v>33</v>
      </c>
      <c r="AD147" s="23" t="str">
        <f t="shared" si="20"/>
        <v>No</v>
      </c>
    </row>
    <row r="148" spans="1:30" x14ac:dyDescent="0.3">
      <c r="A148" s="23">
        <v>147</v>
      </c>
      <c r="B148" s="21" t="s">
        <v>195</v>
      </c>
      <c r="C148" s="23" t="s">
        <v>470</v>
      </c>
      <c r="D148" s="23">
        <v>-4</v>
      </c>
      <c r="E148" s="23" t="s">
        <v>46</v>
      </c>
      <c r="F148" s="23" t="s">
        <v>42</v>
      </c>
      <c r="G148" s="25">
        <v>2.226</v>
      </c>
      <c r="H148" s="25">
        <v>0</v>
      </c>
      <c r="I148" s="25">
        <v>3.1028823800252771E-2</v>
      </c>
      <c r="J148" s="25">
        <v>0</v>
      </c>
      <c r="K148" s="25">
        <v>0</v>
      </c>
      <c r="L148" s="25">
        <v>0</v>
      </c>
      <c r="M148" s="25"/>
      <c r="N148" s="25">
        <v>0</v>
      </c>
      <c r="O148" s="25">
        <v>0</v>
      </c>
      <c r="P148" s="25">
        <v>0</v>
      </c>
      <c r="Q148" s="25">
        <v>0</v>
      </c>
      <c r="R148" s="25">
        <v>0</v>
      </c>
      <c r="S148" s="25"/>
      <c r="T148" s="25">
        <v>1.7603181937821864E-2</v>
      </c>
      <c r="U148" s="25">
        <v>0</v>
      </c>
      <c r="V148" s="25">
        <v>0</v>
      </c>
      <c r="W148" s="25">
        <v>0</v>
      </c>
      <c r="X148" s="25">
        <f t="shared" si="14"/>
        <v>4.8632005738074635E-2</v>
      </c>
      <c r="Y148" s="27">
        <f t="shared" si="15"/>
        <v>2.1847262236331821</v>
      </c>
      <c r="Z148" s="25">
        <f t="shared" si="16"/>
        <v>3.1028823800252771E-2</v>
      </c>
      <c r="AA148" s="49">
        <f t="shared" si="17"/>
        <v>2011</v>
      </c>
      <c r="AB148" s="29">
        <f t="shared" si="18"/>
        <v>1.3939273944408253</v>
      </c>
      <c r="AC148" s="23">
        <f t="shared" si="19"/>
        <v>130</v>
      </c>
      <c r="AD148" s="23" t="str">
        <f t="shared" si="20"/>
        <v>No</v>
      </c>
    </row>
    <row r="149" spans="1:30" x14ac:dyDescent="0.3">
      <c r="A149" s="23">
        <v>148</v>
      </c>
      <c r="B149" s="21" t="s">
        <v>196</v>
      </c>
      <c r="C149" s="23" t="s">
        <v>471</v>
      </c>
      <c r="D149" s="23">
        <v>-2</v>
      </c>
      <c r="E149" s="23" t="s">
        <v>44</v>
      </c>
      <c r="F149" s="23" t="s">
        <v>42</v>
      </c>
      <c r="G149" s="25">
        <v>3.1970000000000001</v>
      </c>
      <c r="H149" s="25">
        <v>8.6153063072468283E-2</v>
      </c>
      <c r="I149" s="25">
        <v>4.8602486360447075E-3</v>
      </c>
      <c r="J149" s="25">
        <v>7.8254454953552704E-4</v>
      </c>
      <c r="K149" s="25">
        <v>0</v>
      </c>
      <c r="L149" s="25">
        <v>0</v>
      </c>
      <c r="M149" s="25"/>
      <c r="N149" s="25">
        <v>0</v>
      </c>
      <c r="O149" s="25">
        <v>0</v>
      </c>
      <c r="P149" s="25">
        <v>0</v>
      </c>
      <c r="Q149" s="25">
        <v>0</v>
      </c>
      <c r="R149" s="25">
        <v>0</v>
      </c>
      <c r="S149" s="25"/>
      <c r="T149" s="25">
        <v>3.0493340825824998E-4</v>
      </c>
      <c r="U149" s="25">
        <v>2.7568343511444982E-4</v>
      </c>
      <c r="V149" s="25">
        <v>4.3181340514833575E-4</v>
      </c>
      <c r="W149" s="25">
        <v>0</v>
      </c>
      <c r="X149" s="25">
        <f t="shared" si="14"/>
        <v>9.280828650656954E-2</v>
      </c>
      <c r="Y149" s="27">
        <f t="shared" si="15"/>
        <v>2.9029804975467481</v>
      </c>
      <c r="Z149" s="25">
        <f t="shared" si="16"/>
        <v>8.6153063072468283E-2</v>
      </c>
      <c r="AA149" s="49">
        <f t="shared" si="17"/>
        <v>2010</v>
      </c>
      <c r="AB149" s="29">
        <f t="shared" si="18"/>
        <v>2.6948096050193397</v>
      </c>
      <c r="AC149" s="23">
        <f t="shared" si="19"/>
        <v>94</v>
      </c>
      <c r="AD149" s="23" t="str">
        <f t="shared" si="20"/>
        <v>No</v>
      </c>
    </row>
    <row r="150" spans="1:30" x14ac:dyDescent="0.3">
      <c r="A150" s="23">
        <v>149</v>
      </c>
      <c r="B150" s="21" t="s">
        <v>197</v>
      </c>
      <c r="C150" s="23" t="s">
        <v>472</v>
      </c>
      <c r="D150" s="23">
        <v>-2</v>
      </c>
      <c r="E150" s="23" t="s">
        <v>44</v>
      </c>
      <c r="F150" s="23" t="s">
        <v>42</v>
      </c>
      <c r="G150" s="25">
        <v>2.0190000000000001</v>
      </c>
      <c r="H150" s="25">
        <v>0.19000943826890623</v>
      </c>
      <c r="I150" s="25">
        <v>6.0149864102015272E-5</v>
      </c>
      <c r="J150" s="25">
        <v>8.223297786563344E-4</v>
      </c>
      <c r="K150" s="25">
        <v>0</v>
      </c>
      <c r="L150" s="25">
        <v>0</v>
      </c>
      <c r="M150" s="25"/>
      <c r="N150" s="25">
        <v>0</v>
      </c>
      <c r="O150" s="25">
        <v>0</v>
      </c>
      <c r="P150" s="25">
        <v>0</v>
      </c>
      <c r="Q150" s="25">
        <v>0</v>
      </c>
      <c r="R150" s="25">
        <v>0</v>
      </c>
      <c r="S150" s="25"/>
      <c r="T150" s="25">
        <v>4.057369392683087E-2</v>
      </c>
      <c r="U150" s="25">
        <v>5.3414317841955924E-4</v>
      </c>
      <c r="V150" s="25">
        <v>0</v>
      </c>
      <c r="W150" s="25">
        <v>0</v>
      </c>
      <c r="X150" s="25">
        <f t="shared" si="14"/>
        <v>0.23199975501691503</v>
      </c>
      <c r="Y150" s="27">
        <f t="shared" si="15"/>
        <v>11.490824914161218</v>
      </c>
      <c r="Z150" s="25">
        <f t="shared" si="16"/>
        <v>0.19000943826890623</v>
      </c>
      <c r="AA150" s="49">
        <f t="shared" si="17"/>
        <v>2010</v>
      </c>
      <c r="AB150" s="29">
        <f t="shared" si="18"/>
        <v>9.4110667790443898</v>
      </c>
      <c r="AC150" s="23">
        <f t="shared" si="19"/>
        <v>28</v>
      </c>
      <c r="AD150" s="23" t="str">
        <f t="shared" si="20"/>
        <v>No</v>
      </c>
    </row>
    <row r="151" spans="1:30" x14ac:dyDescent="0.3">
      <c r="A151" s="23">
        <v>150</v>
      </c>
      <c r="B151" s="21" t="s">
        <v>198</v>
      </c>
      <c r="C151" s="23" t="s">
        <v>473</v>
      </c>
      <c r="D151" s="23">
        <v>-3</v>
      </c>
      <c r="E151" s="23" t="s">
        <v>41</v>
      </c>
      <c r="F151" s="23" t="s">
        <v>42</v>
      </c>
      <c r="G151" s="25">
        <v>1.5309999999999999</v>
      </c>
      <c r="H151" s="25">
        <v>7.0940831393850518E-2</v>
      </c>
      <c r="I151" s="25">
        <v>2.61167584972367E-2</v>
      </c>
      <c r="J151" s="25">
        <v>4.8537334271552392E-4</v>
      </c>
      <c r="K151" s="25">
        <v>0</v>
      </c>
      <c r="L151" s="25">
        <v>0</v>
      </c>
      <c r="M151" s="25"/>
      <c r="N151" s="25">
        <v>0</v>
      </c>
      <c r="O151" s="25">
        <v>0</v>
      </c>
      <c r="P151" s="25">
        <v>0</v>
      </c>
      <c r="Q151" s="25">
        <v>0</v>
      </c>
      <c r="R151" s="25">
        <v>0</v>
      </c>
      <c r="S151" s="25"/>
      <c r="T151" s="25">
        <v>8.7487365582644954E-4</v>
      </c>
      <c r="U151" s="25">
        <v>3.3363090016483331E-4</v>
      </c>
      <c r="V151" s="25">
        <v>0</v>
      </c>
      <c r="W151" s="25">
        <v>3.8807040012581276E-4</v>
      </c>
      <c r="X151" s="25">
        <f t="shared" si="14"/>
        <v>9.9139538189919829E-2</v>
      </c>
      <c r="Y151" s="27">
        <f t="shared" si="15"/>
        <v>6.4754760411443391</v>
      </c>
      <c r="Z151" s="25">
        <f t="shared" si="16"/>
        <v>7.0940831393850518E-2</v>
      </c>
      <c r="AA151" s="49">
        <f t="shared" si="17"/>
        <v>2010</v>
      </c>
      <c r="AB151" s="29">
        <f t="shared" si="18"/>
        <v>4.6336271321914122</v>
      </c>
      <c r="AC151" s="23">
        <f t="shared" si="19"/>
        <v>60</v>
      </c>
      <c r="AD151" s="23" t="str">
        <f t="shared" si="20"/>
        <v>No</v>
      </c>
    </row>
    <row r="152" spans="1:30" x14ac:dyDescent="0.3">
      <c r="A152" s="23">
        <v>151</v>
      </c>
      <c r="B152" s="21" t="s">
        <v>199</v>
      </c>
      <c r="C152" s="23" t="s">
        <v>474</v>
      </c>
      <c r="D152" s="23">
        <v>-3</v>
      </c>
      <c r="E152" s="23" t="s">
        <v>41</v>
      </c>
      <c r="F152" s="23" t="s">
        <v>42</v>
      </c>
      <c r="G152" s="25">
        <v>2.8620000000000001</v>
      </c>
      <c r="H152" s="25">
        <v>0</v>
      </c>
      <c r="I152" s="25">
        <v>2.5362403284983591E-3</v>
      </c>
      <c r="J152" s="25">
        <v>0</v>
      </c>
      <c r="K152" s="25">
        <v>0</v>
      </c>
      <c r="L152" s="25">
        <v>0</v>
      </c>
      <c r="M152" s="25"/>
      <c r="N152" s="25">
        <v>0</v>
      </c>
      <c r="O152" s="25">
        <v>0</v>
      </c>
      <c r="P152" s="25">
        <v>0</v>
      </c>
      <c r="Q152" s="25">
        <v>0</v>
      </c>
      <c r="R152" s="25">
        <v>1.7829535868926904E-4</v>
      </c>
      <c r="S152" s="25"/>
      <c r="T152" s="25">
        <v>3.8537253204409113E-3</v>
      </c>
      <c r="U152" s="25">
        <v>0</v>
      </c>
      <c r="V152" s="25">
        <v>1.0051880001206883E-4</v>
      </c>
      <c r="W152" s="25">
        <v>0</v>
      </c>
      <c r="X152" s="25">
        <f t="shared" si="14"/>
        <v>6.6687798076406077E-3</v>
      </c>
      <c r="Y152" s="27">
        <f t="shared" si="15"/>
        <v>0.23301117427116028</v>
      </c>
      <c r="Z152" s="25">
        <f t="shared" si="16"/>
        <v>3.8537253204409113E-3</v>
      </c>
      <c r="AA152" s="49">
        <f t="shared" si="17"/>
        <v>2022</v>
      </c>
      <c r="AB152" s="29">
        <f t="shared" si="18"/>
        <v>0.1346514787016391</v>
      </c>
      <c r="AC152" s="23">
        <f t="shared" si="19"/>
        <v>195</v>
      </c>
      <c r="AD152" s="23" t="str">
        <f t="shared" si="20"/>
        <v>No</v>
      </c>
    </row>
    <row r="153" spans="1:30" x14ac:dyDescent="0.3">
      <c r="A153" s="23">
        <v>152</v>
      </c>
      <c r="B153" s="21" t="s">
        <v>200</v>
      </c>
      <c r="C153" s="23" t="s">
        <v>475</v>
      </c>
      <c r="D153" s="23">
        <v>-2</v>
      </c>
      <c r="E153" s="23" t="s">
        <v>44</v>
      </c>
      <c r="F153" s="23" t="s">
        <v>42</v>
      </c>
      <c r="G153" s="25">
        <v>2.1589999999999998</v>
      </c>
      <c r="H153" s="25">
        <v>0</v>
      </c>
      <c r="I153" s="25">
        <v>3.4980415947424744E-2</v>
      </c>
      <c r="J153" s="25">
        <v>0</v>
      </c>
      <c r="K153" s="25">
        <v>0</v>
      </c>
      <c r="L153" s="25">
        <v>0</v>
      </c>
      <c r="M153" s="25"/>
      <c r="N153" s="25">
        <v>0</v>
      </c>
      <c r="O153" s="25">
        <v>0</v>
      </c>
      <c r="P153" s="25">
        <v>0</v>
      </c>
      <c r="Q153" s="25">
        <v>0</v>
      </c>
      <c r="R153" s="25">
        <v>0</v>
      </c>
      <c r="S153" s="25"/>
      <c r="T153" s="25">
        <v>8.7453390865983634E-3</v>
      </c>
      <c r="U153" s="25">
        <v>0</v>
      </c>
      <c r="V153" s="25">
        <v>0</v>
      </c>
      <c r="W153" s="25">
        <v>0</v>
      </c>
      <c r="X153" s="25">
        <f t="shared" si="14"/>
        <v>4.3725755034023109E-2</v>
      </c>
      <c r="Y153" s="27">
        <f t="shared" si="15"/>
        <v>2.0252781396027379</v>
      </c>
      <c r="Z153" s="25">
        <f t="shared" si="16"/>
        <v>3.4980415947424744E-2</v>
      </c>
      <c r="AA153" s="49">
        <f t="shared" si="17"/>
        <v>2011</v>
      </c>
      <c r="AB153" s="29">
        <f t="shared" si="18"/>
        <v>1.620213800251262</v>
      </c>
      <c r="AC153" s="23">
        <f t="shared" si="19"/>
        <v>123</v>
      </c>
      <c r="AD153" s="23" t="str">
        <f t="shared" si="20"/>
        <v>No</v>
      </c>
    </row>
    <row r="154" spans="1:30" x14ac:dyDescent="0.3">
      <c r="A154" s="23">
        <v>153</v>
      </c>
      <c r="B154" s="21" t="s">
        <v>201</v>
      </c>
      <c r="C154" s="23" t="s">
        <v>476</v>
      </c>
      <c r="D154" s="23">
        <v>-3</v>
      </c>
      <c r="E154" s="23" t="s">
        <v>41</v>
      </c>
      <c r="F154" s="23" t="s">
        <v>42</v>
      </c>
      <c r="G154" s="25">
        <v>2.1019999999999999</v>
      </c>
      <c r="H154" s="25">
        <v>5.818395178353053E-2</v>
      </c>
      <c r="I154" s="25">
        <v>3.8876723423693328E-4</v>
      </c>
      <c r="J154" s="25">
        <v>7.6563019552349583E-4</v>
      </c>
      <c r="K154" s="25">
        <v>0</v>
      </c>
      <c r="L154" s="25">
        <v>0</v>
      </c>
      <c r="M154" s="25"/>
      <c r="N154" s="25">
        <v>0</v>
      </c>
      <c r="O154" s="25">
        <v>0</v>
      </c>
      <c r="P154" s="25">
        <v>2.7115315141505562E-4</v>
      </c>
      <c r="Q154" s="25">
        <v>0</v>
      </c>
      <c r="R154" s="25">
        <v>0</v>
      </c>
      <c r="S154" s="25"/>
      <c r="T154" s="25">
        <v>4.552361054355759E-3</v>
      </c>
      <c r="U154" s="25">
        <v>0</v>
      </c>
      <c r="V154" s="25">
        <v>0</v>
      </c>
      <c r="W154" s="25">
        <v>0</v>
      </c>
      <c r="X154" s="25">
        <f t="shared" si="14"/>
        <v>6.4161863419061771E-2</v>
      </c>
      <c r="Y154" s="27">
        <f t="shared" si="15"/>
        <v>3.0524197630381433</v>
      </c>
      <c r="Z154" s="25">
        <f t="shared" si="16"/>
        <v>5.818395178353053E-2</v>
      </c>
      <c r="AA154" s="49">
        <f t="shared" si="17"/>
        <v>2010</v>
      </c>
      <c r="AB154" s="29">
        <f t="shared" si="18"/>
        <v>2.768028153355401</v>
      </c>
      <c r="AC154" s="23">
        <f t="shared" si="19"/>
        <v>93</v>
      </c>
      <c r="AD154" s="23" t="str">
        <f t="shared" si="20"/>
        <v>No</v>
      </c>
    </row>
    <row r="155" spans="1:30" x14ac:dyDescent="0.3">
      <c r="A155" s="23">
        <v>154</v>
      </c>
      <c r="B155" s="21" t="s">
        <v>202</v>
      </c>
      <c r="C155" s="23" t="s">
        <v>477</v>
      </c>
      <c r="D155" s="23">
        <v>-2</v>
      </c>
      <c r="E155" s="23" t="s">
        <v>44</v>
      </c>
      <c r="F155" s="23" t="s">
        <v>42</v>
      </c>
      <c r="G155" s="25">
        <v>3.0059999999999998</v>
      </c>
      <c r="H155" s="25">
        <v>0</v>
      </c>
      <c r="I155" s="25">
        <v>1.9303978124725712E-2</v>
      </c>
      <c r="J155" s="25">
        <v>0</v>
      </c>
      <c r="K155" s="25">
        <v>0</v>
      </c>
      <c r="L155" s="25">
        <v>0</v>
      </c>
      <c r="M155" s="25"/>
      <c r="N155" s="25">
        <v>0</v>
      </c>
      <c r="O155" s="25">
        <v>0</v>
      </c>
      <c r="P155" s="25">
        <v>0</v>
      </c>
      <c r="Q155" s="25">
        <v>0</v>
      </c>
      <c r="R155" s="25">
        <v>0</v>
      </c>
      <c r="S155" s="25"/>
      <c r="T155" s="25">
        <v>1.1269184058317477E-3</v>
      </c>
      <c r="U155" s="25">
        <v>0</v>
      </c>
      <c r="V155" s="25">
        <v>2.4807679858943445E-4</v>
      </c>
      <c r="W155" s="25">
        <v>0</v>
      </c>
      <c r="X155" s="25">
        <f t="shared" si="14"/>
        <v>2.0678973329146894E-2</v>
      </c>
      <c r="Y155" s="27">
        <f t="shared" si="15"/>
        <v>0.68792326444267782</v>
      </c>
      <c r="Z155" s="25">
        <f t="shared" si="16"/>
        <v>1.9303978124725712E-2</v>
      </c>
      <c r="AA155" s="49">
        <f t="shared" si="17"/>
        <v>2011</v>
      </c>
      <c r="AB155" s="29">
        <f t="shared" si="18"/>
        <v>0.64218157434217282</v>
      </c>
      <c r="AC155" s="23">
        <f t="shared" si="19"/>
        <v>161</v>
      </c>
      <c r="AD155" s="23" t="str">
        <f t="shared" si="20"/>
        <v>No</v>
      </c>
    </row>
    <row r="156" spans="1:30" x14ac:dyDescent="0.3">
      <c r="A156" s="23">
        <v>155</v>
      </c>
      <c r="B156" s="21" t="s">
        <v>203</v>
      </c>
      <c r="C156" s="23" t="s">
        <v>478</v>
      </c>
      <c r="D156" s="23">
        <v>-3</v>
      </c>
      <c r="E156" s="23" t="s">
        <v>41</v>
      </c>
      <c r="F156" s="23" t="s">
        <v>42</v>
      </c>
      <c r="G156" s="25">
        <v>2.9409999999999998</v>
      </c>
      <c r="H156" s="25">
        <v>0</v>
      </c>
      <c r="I156" s="25">
        <v>5.1141117007483701E-3</v>
      </c>
      <c r="J156" s="25">
        <v>0</v>
      </c>
      <c r="K156" s="25">
        <v>0</v>
      </c>
      <c r="L156" s="25">
        <v>0</v>
      </c>
      <c r="M156" s="25"/>
      <c r="N156" s="25">
        <v>0</v>
      </c>
      <c r="O156" s="25">
        <v>0</v>
      </c>
      <c r="P156" s="25">
        <v>0</v>
      </c>
      <c r="Q156" s="25">
        <v>0</v>
      </c>
      <c r="R156" s="25">
        <v>0</v>
      </c>
      <c r="S156" s="25"/>
      <c r="T156" s="25">
        <v>4.8538432184892571E-3</v>
      </c>
      <c r="U156" s="25">
        <v>0</v>
      </c>
      <c r="V156" s="25">
        <v>0</v>
      </c>
      <c r="W156" s="25">
        <v>0</v>
      </c>
      <c r="X156" s="25">
        <f t="shared" si="14"/>
        <v>9.9679549192376281E-3</v>
      </c>
      <c r="Y156" s="27">
        <f t="shared" si="15"/>
        <v>0.33893080310226553</v>
      </c>
      <c r="Z156" s="25">
        <f t="shared" si="16"/>
        <v>5.1141117007483701E-3</v>
      </c>
      <c r="AA156" s="49">
        <f t="shared" si="17"/>
        <v>2011</v>
      </c>
      <c r="AB156" s="29">
        <f t="shared" si="18"/>
        <v>0.17389023123931896</v>
      </c>
      <c r="AC156" s="23">
        <f t="shared" si="19"/>
        <v>189</v>
      </c>
      <c r="AD156" s="23" t="str">
        <f t="shared" si="20"/>
        <v>No</v>
      </c>
    </row>
    <row r="157" spans="1:30" x14ac:dyDescent="0.3">
      <c r="A157" s="23">
        <v>156</v>
      </c>
      <c r="B157" s="21" t="s">
        <v>204</v>
      </c>
      <c r="C157" s="23" t="s">
        <v>479</v>
      </c>
      <c r="D157" s="23">
        <v>-2</v>
      </c>
      <c r="E157" s="23" t="s">
        <v>44</v>
      </c>
      <c r="F157" s="23" t="s">
        <v>42</v>
      </c>
      <c r="G157" s="25">
        <v>2.8359999999999999</v>
      </c>
      <c r="H157" s="25">
        <v>0</v>
      </c>
      <c r="I157" s="25">
        <v>0</v>
      </c>
      <c r="J157" s="25">
        <v>0</v>
      </c>
      <c r="K157" s="25">
        <v>0</v>
      </c>
      <c r="L157" s="25">
        <v>0</v>
      </c>
      <c r="M157" s="25"/>
      <c r="N157" s="25">
        <v>0</v>
      </c>
      <c r="O157" s="25">
        <v>0</v>
      </c>
      <c r="P157" s="25">
        <v>0</v>
      </c>
      <c r="Q157" s="25">
        <v>0</v>
      </c>
      <c r="R157" s="25">
        <v>0</v>
      </c>
      <c r="S157" s="25"/>
      <c r="T157" s="25">
        <v>3.9496648949114949E-2</v>
      </c>
      <c r="U157" s="25">
        <v>0</v>
      </c>
      <c r="V157" s="25">
        <v>0</v>
      </c>
      <c r="W157" s="25">
        <v>0</v>
      </c>
      <c r="X157" s="25">
        <f t="shared" si="14"/>
        <v>3.9496648949114949E-2</v>
      </c>
      <c r="Y157" s="27">
        <f t="shared" si="15"/>
        <v>1.3926886089250687</v>
      </c>
      <c r="Z157" s="25">
        <f t="shared" si="16"/>
        <v>3.9496648949114949E-2</v>
      </c>
      <c r="AA157" s="49">
        <f t="shared" si="17"/>
        <v>2022</v>
      </c>
      <c r="AB157" s="29">
        <f t="shared" si="18"/>
        <v>1.3926886089250687</v>
      </c>
      <c r="AC157" s="23">
        <f t="shared" si="19"/>
        <v>131</v>
      </c>
      <c r="AD157" s="23" t="str">
        <f t="shared" si="20"/>
        <v>No</v>
      </c>
    </row>
    <row r="158" spans="1:30" x14ac:dyDescent="0.3">
      <c r="A158" s="23">
        <v>157</v>
      </c>
      <c r="B158" s="21" t="s">
        <v>205</v>
      </c>
      <c r="C158" s="23" t="s">
        <v>480</v>
      </c>
      <c r="D158" s="23">
        <v>-3</v>
      </c>
      <c r="E158" s="23" t="s">
        <v>41</v>
      </c>
      <c r="F158" s="23" t="s">
        <v>42</v>
      </c>
      <c r="G158" s="25">
        <v>4.0140000000000002</v>
      </c>
      <c r="H158" s="25">
        <v>1.765139248099178E-2</v>
      </c>
      <c r="I158" s="25">
        <v>0</v>
      </c>
      <c r="J158" s="25">
        <v>0</v>
      </c>
      <c r="K158" s="25">
        <v>0</v>
      </c>
      <c r="L158" s="25">
        <v>0</v>
      </c>
      <c r="M158" s="25"/>
      <c r="N158" s="25">
        <v>0</v>
      </c>
      <c r="O158" s="25">
        <v>0</v>
      </c>
      <c r="P158" s="25">
        <v>0</v>
      </c>
      <c r="Q158" s="25">
        <v>0</v>
      </c>
      <c r="R158" s="25">
        <v>0</v>
      </c>
      <c r="S158" s="25"/>
      <c r="T158" s="25">
        <v>1.2728833800733554E-3</v>
      </c>
      <c r="U158" s="25">
        <v>0</v>
      </c>
      <c r="V158" s="25">
        <v>0</v>
      </c>
      <c r="W158" s="25">
        <v>0</v>
      </c>
      <c r="X158" s="25">
        <f t="shared" si="14"/>
        <v>1.8924275861065133E-2</v>
      </c>
      <c r="Y158" s="27">
        <f t="shared" si="15"/>
        <v>0.47145679773455734</v>
      </c>
      <c r="Z158" s="25">
        <f t="shared" si="16"/>
        <v>1.765139248099178E-2</v>
      </c>
      <c r="AA158" s="49">
        <f t="shared" si="17"/>
        <v>2010</v>
      </c>
      <c r="AB158" s="29">
        <f t="shared" si="18"/>
        <v>0.43974570206755798</v>
      </c>
      <c r="AC158" s="23">
        <f t="shared" si="19"/>
        <v>170</v>
      </c>
      <c r="AD158" s="23" t="str">
        <f t="shared" si="20"/>
        <v>No</v>
      </c>
    </row>
    <row r="159" spans="1:30" x14ac:dyDescent="0.3">
      <c r="A159" s="23">
        <v>158</v>
      </c>
      <c r="B159" s="21" t="s">
        <v>206</v>
      </c>
      <c r="C159" s="23" t="s">
        <v>481</v>
      </c>
      <c r="D159" s="23">
        <v>-2</v>
      </c>
      <c r="E159" s="23" t="s">
        <v>44</v>
      </c>
      <c r="F159" s="23" t="s">
        <v>42</v>
      </c>
      <c r="G159" s="25">
        <v>1.79</v>
      </c>
      <c r="H159" s="25">
        <v>4.2183657135786493E-3</v>
      </c>
      <c r="I159" s="25">
        <v>0</v>
      </c>
      <c r="J159" s="25">
        <v>0</v>
      </c>
      <c r="K159" s="25">
        <v>0</v>
      </c>
      <c r="L159" s="25">
        <v>0</v>
      </c>
      <c r="M159" s="25"/>
      <c r="N159" s="25">
        <v>0</v>
      </c>
      <c r="O159" s="25">
        <v>0</v>
      </c>
      <c r="P159" s="25">
        <v>0</v>
      </c>
      <c r="Q159" s="25">
        <v>0</v>
      </c>
      <c r="R159" s="25">
        <v>0</v>
      </c>
      <c r="S159" s="25"/>
      <c r="T159" s="25">
        <v>1.1371688327373586E-2</v>
      </c>
      <c r="U159" s="25">
        <v>1.0412076446678256E-3</v>
      </c>
      <c r="V159" s="25">
        <v>0</v>
      </c>
      <c r="W159" s="25">
        <v>0</v>
      </c>
      <c r="X159" s="25">
        <f t="shared" si="14"/>
        <v>1.6631261685620062E-2</v>
      </c>
      <c r="Y159" s="27">
        <f t="shared" si="15"/>
        <v>0.92912076455977999</v>
      </c>
      <c r="Z159" s="25">
        <f t="shared" si="16"/>
        <v>1.1371688327373586E-2</v>
      </c>
      <c r="AA159" s="49">
        <f t="shared" si="17"/>
        <v>2022</v>
      </c>
      <c r="AB159" s="29">
        <f t="shared" si="18"/>
        <v>0.63528985069126176</v>
      </c>
      <c r="AC159" s="23">
        <f t="shared" si="19"/>
        <v>163</v>
      </c>
      <c r="AD159" s="23" t="str">
        <f t="shared" si="20"/>
        <v>No</v>
      </c>
    </row>
    <row r="160" spans="1:30" x14ac:dyDescent="0.3">
      <c r="A160" s="23">
        <v>159</v>
      </c>
      <c r="B160" s="21" t="s">
        <v>207</v>
      </c>
      <c r="C160" s="23" t="s">
        <v>482</v>
      </c>
      <c r="D160" s="23">
        <v>-2</v>
      </c>
      <c r="E160" s="23" t="s">
        <v>44</v>
      </c>
      <c r="F160" s="23" t="s">
        <v>42</v>
      </c>
      <c r="G160" s="25">
        <v>1.3380000000000001</v>
      </c>
      <c r="H160" s="25">
        <v>0</v>
      </c>
      <c r="I160" s="25">
        <v>0</v>
      </c>
      <c r="J160" s="25">
        <v>0</v>
      </c>
      <c r="K160" s="25">
        <v>0</v>
      </c>
      <c r="L160" s="25">
        <v>0</v>
      </c>
      <c r="M160" s="25"/>
      <c r="N160" s="25">
        <v>0</v>
      </c>
      <c r="O160" s="25">
        <v>0</v>
      </c>
      <c r="P160" s="25">
        <v>0</v>
      </c>
      <c r="Q160" s="25">
        <v>0</v>
      </c>
      <c r="R160" s="25">
        <v>0</v>
      </c>
      <c r="S160" s="25"/>
      <c r="T160" s="25">
        <v>7.6275720077327996E-2</v>
      </c>
      <c r="U160" s="25">
        <v>6.5809235524432732E-4</v>
      </c>
      <c r="V160" s="25">
        <v>0</v>
      </c>
      <c r="W160" s="25">
        <v>0</v>
      </c>
      <c r="X160" s="25">
        <f t="shared" si="14"/>
        <v>7.6933812432572329E-2</v>
      </c>
      <c r="Y160" s="27">
        <f t="shared" si="15"/>
        <v>5.749911243092102</v>
      </c>
      <c r="Z160" s="25">
        <f t="shared" si="16"/>
        <v>7.6275720077327996E-2</v>
      </c>
      <c r="AA160" s="49">
        <f t="shared" si="17"/>
        <v>2022</v>
      </c>
      <c r="AB160" s="29">
        <f t="shared" si="18"/>
        <v>5.7007264631784746</v>
      </c>
      <c r="AC160" s="23">
        <f t="shared" si="19"/>
        <v>51</v>
      </c>
      <c r="AD160" s="23" t="str">
        <f t="shared" si="20"/>
        <v>No</v>
      </c>
    </row>
    <row r="161" spans="1:30" x14ac:dyDescent="0.3">
      <c r="A161" s="23">
        <v>160</v>
      </c>
      <c r="B161" s="21" t="s">
        <v>208</v>
      </c>
      <c r="C161" s="23" t="s">
        <v>483</v>
      </c>
      <c r="D161" s="23">
        <v>-3</v>
      </c>
      <c r="E161" s="23" t="s">
        <v>41</v>
      </c>
      <c r="F161" s="23" t="s">
        <v>42</v>
      </c>
      <c r="G161" s="25">
        <v>2.359</v>
      </c>
      <c r="H161" s="25">
        <v>0</v>
      </c>
      <c r="I161" s="25">
        <v>4.4758862478847734E-5</v>
      </c>
      <c r="J161" s="25">
        <v>0</v>
      </c>
      <c r="K161" s="25">
        <v>0</v>
      </c>
      <c r="L161" s="25">
        <v>0</v>
      </c>
      <c r="M161" s="25"/>
      <c r="N161" s="25">
        <v>0</v>
      </c>
      <c r="O161" s="25">
        <v>0</v>
      </c>
      <c r="P161" s="25">
        <v>0</v>
      </c>
      <c r="Q161" s="25">
        <v>0</v>
      </c>
      <c r="R161" s="25">
        <v>0</v>
      </c>
      <c r="S161" s="25"/>
      <c r="T161" s="25">
        <v>1.3738815593335312E-4</v>
      </c>
      <c r="U161" s="25">
        <v>0</v>
      </c>
      <c r="V161" s="25">
        <v>0</v>
      </c>
      <c r="W161" s="25">
        <v>0</v>
      </c>
      <c r="X161" s="25">
        <f t="shared" si="14"/>
        <v>1.8214701841220087E-4</v>
      </c>
      <c r="Y161" s="27">
        <f t="shared" si="15"/>
        <v>7.7213657656719321E-3</v>
      </c>
      <c r="Z161" s="25">
        <f t="shared" si="16"/>
        <v>1.3738815593335312E-4</v>
      </c>
      <c r="AA161" s="49">
        <f t="shared" si="17"/>
        <v>2022</v>
      </c>
      <c r="AB161" s="29">
        <f t="shared" si="18"/>
        <v>5.8239998276114081E-3</v>
      </c>
      <c r="AC161" s="23">
        <f t="shared" si="19"/>
        <v>231</v>
      </c>
      <c r="AD161" s="23" t="str">
        <f t="shared" si="20"/>
        <v>No</v>
      </c>
    </row>
    <row r="162" spans="1:30" x14ac:dyDescent="0.3">
      <c r="A162" s="23">
        <v>161</v>
      </c>
      <c r="B162" s="21" t="s">
        <v>209</v>
      </c>
      <c r="C162" s="23" t="s">
        <v>484</v>
      </c>
      <c r="D162" s="23">
        <v>-3</v>
      </c>
      <c r="E162" s="23" t="s">
        <v>41</v>
      </c>
      <c r="F162" s="23" t="s">
        <v>42</v>
      </c>
      <c r="G162" s="25">
        <v>1.804</v>
      </c>
      <c r="H162" s="25">
        <v>1.9883985048132418E-2</v>
      </c>
      <c r="I162" s="25">
        <v>6.8411461883302618E-2</v>
      </c>
      <c r="J162" s="25">
        <v>8.0829154495322224E-4</v>
      </c>
      <c r="K162" s="25">
        <v>0</v>
      </c>
      <c r="L162" s="25">
        <v>0</v>
      </c>
      <c r="M162" s="25"/>
      <c r="N162" s="25">
        <v>0</v>
      </c>
      <c r="O162" s="25">
        <v>0</v>
      </c>
      <c r="P162" s="25">
        <v>2.3154994396946859E-4</v>
      </c>
      <c r="Q162" s="25">
        <v>3.3415776365902276E-4</v>
      </c>
      <c r="R162" s="25">
        <v>0</v>
      </c>
      <c r="S162" s="25"/>
      <c r="T162" s="25">
        <v>4.9789203811355882E-2</v>
      </c>
      <c r="U162" s="25">
        <v>1.0318544504203928E-3</v>
      </c>
      <c r="V162" s="25">
        <v>2.1280350010539404E-4</v>
      </c>
      <c r="W162" s="25">
        <v>0</v>
      </c>
      <c r="X162" s="25">
        <f t="shared" si="14"/>
        <v>0.14070330794589841</v>
      </c>
      <c r="Y162" s="27">
        <f t="shared" si="15"/>
        <v>7.7995181788192021</v>
      </c>
      <c r="Z162" s="25">
        <f t="shared" si="16"/>
        <v>6.8411461883302618E-2</v>
      </c>
      <c r="AA162" s="49">
        <f t="shared" si="17"/>
        <v>2011</v>
      </c>
      <c r="AB162" s="29">
        <f t="shared" si="18"/>
        <v>3.7922096387640032</v>
      </c>
      <c r="AC162" s="23">
        <f t="shared" si="19"/>
        <v>68</v>
      </c>
      <c r="AD162" s="23" t="str">
        <f t="shared" si="20"/>
        <v>No</v>
      </c>
    </row>
    <row r="163" spans="1:30" x14ac:dyDescent="0.3">
      <c r="A163" s="23">
        <v>162</v>
      </c>
      <c r="B163" s="21" t="s">
        <v>210</v>
      </c>
      <c r="C163" s="23" t="s">
        <v>485</v>
      </c>
      <c r="D163" s="23">
        <v>-3</v>
      </c>
      <c r="E163" s="23" t="s">
        <v>41</v>
      </c>
      <c r="F163" s="23" t="s">
        <v>42</v>
      </c>
      <c r="G163" s="25">
        <v>2.2290000000000001</v>
      </c>
      <c r="H163" s="25">
        <v>1.8025503329990315E-3</v>
      </c>
      <c r="I163" s="25">
        <v>0</v>
      </c>
      <c r="J163" s="25">
        <v>0</v>
      </c>
      <c r="K163" s="25">
        <v>0</v>
      </c>
      <c r="L163" s="25">
        <v>0</v>
      </c>
      <c r="M163" s="25"/>
      <c r="N163" s="25">
        <v>0</v>
      </c>
      <c r="O163" s="25">
        <v>0</v>
      </c>
      <c r="P163" s="25">
        <v>0</v>
      </c>
      <c r="Q163" s="25">
        <v>1.6558229660915676E-3</v>
      </c>
      <c r="R163" s="25">
        <v>0</v>
      </c>
      <c r="S163" s="25"/>
      <c r="T163" s="25">
        <v>5.7547639630680061E-2</v>
      </c>
      <c r="U163" s="25">
        <v>2.4340986974447403E-2</v>
      </c>
      <c r="V163" s="25">
        <v>6.0201527017306947E-5</v>
      </c>
      <c r="W163" s="25">
        <v>0</v>
      </c>
      <c r="X163" s="25">
        <f t="shared" si="14"/>
        <v>8.5407201431235369E-2</v>
      </c>
      <c r="Y163" s="27">
        <f t="shared" si="15"/>
        <v>3.8316375698176475</v>
      </c>
      <c r="Z163" s="25">
        <f t="shared" si="16"/>
        <v>5.7547639630680061E-2</v>
      </c>
      <c r="AA163" s="49">
        <f t="shared" si="17"/>
        <v>2022</v>
      </c>
      <c r="AB163" s="29">
        <f t="shared" si="18"/>
        <v>2.5817693867510121</v>
      </c>
      <c r="AC163" s="23">
        <f t="shared" si="19"/>
        <v>98</v>
      </c>
      <c r="AD163" s="23" t="str">
        <f t="shared" si="20"/>
        <v>No</v>
      </c>
    </row>
    <row r="164" spans="1:30" x14ac:dyDescent="0.3">
      <c r="A164" s="23">
        <v>163</v>
      </c>
      <c r="B164" s="21" t="s">
        <v>211</v>
      </c>
      <c r="C164" s="23" t="s">
        <v>486</v>
      </c>
      <c r="D164" s="23">
        <v>-2</v>
      </c>
      <c r="E164" s="23" t="s">
        <v>44</v>
      </c>
      <c r="F164" s="23" t="s">
        <v>42</v>
      </c>
      <c r="G164" s="25">
        <v>1.671</v>
      </c>
      <c r="H164" s="25">
        <v>2.3628987752502783E-2</v>
      </c>
      <c r="I164" s="25">
        <v>8.6815528400102627E-4</v>
      </c>
      <c r="J164" s="25">
        <v>1.1905868774268712E-3</v>
      </c>
      <c r="K164" s="25">
        <v>0</v>
      </c>
      <c r="L164" s="25">
        <v>0</v>
      </c>
      <c r="M164" s="25"/>
      <c r="N164" s="25">
        <v>0</v>
      </c>
      <c r="O164" s="25">
        <v>0</v>
      </c>
      <c r="P164" s="25">
        <v>0</v>
      </c>
      <c r="Q164" s="25">
        <v>0</v>
      </c>
      <c r="R164" s="25">
        <v>0</v>
      </c>
      <c r="S164" s="25"/>
      <c r="T164" s="25">
        <v>3.9695640013535742E-4</v>
      </c>
      <c r="U164" s="25">
        <v>0</v>
      </c>
      <c r="V164" s="25">
        <v>0</v>
      </c>
      <c r="W164" s="25">
        <v>0</v>
      </c>
      <c r="X164" s="25">
        <f t="shared" si="14"/>
        <v>2.6084686314066036E-2</v>
      </c>
      <c r="Y164" s="27">
        <f t="shared" si="15"/>
        <v>1.5610225202912049</v>
      </c>
      <c r="Z164" s="25">
        <f t="shared" si="16"/>
        <v>2.3628987752502783E-2</v>
      </c>
      <c r="AA164" s="49">
        <f t="shared" si="17"/>
        <v>2010</v>
      </c>
      <c r="AB164" s="29">
        <f t="shared" si="18"/>
        <v>1.414062702124643</v>
      </c>
      <c r="AC164" s="23">
        <f t="shared" si="19"/>
        <v>129</v>
      </c>
      <c r="AD164" s="23" t="str">
        <f t="shared" si="20"/>
        <v>No</v>
      </c>
    </row>
    <row r="165" spans="1:30" x14ac:dyDescent="0.3">
      <c r="A165" s="23">
        <v>164</v>
      </c>
      <c r="B165" s="21" t="s">
        <v>212</v>
      </c>
      <c r="C165" s="23" t="s">
        <v>487</v>
      </c>
      <c r="D165" s="23">
        <v>-3</v>
      </c>
      <c r="E165" s="23" t="s">
        <v>41</v>
      </c>
      <c r="F165" s="23" t="s">
        <v>42</v>
      </c>
      <c r="G165" s="25">
        <v>1.9119999999999999</v>
      </c>
      <c r="H165" s="25">
        <v>6.7490019732434833E-2</v>
      </c>
      <c r="I165" s="25">
        <v>2.2452946202574639E-2</v>
      </c>
      <c r="J165" s="25">
        <v>0</v>
      </c>
      <c r="K165" s="25">
        <v>0</v>
      </c>
      <c r="L165" s="25">
        <v>2.3008054381934927E-4</v>
      </c>
      <c r="M165" s="25"/>
      <c r="N165" s="25">
        <v>0</v>
      </c>
      <c r="O165" s="25">
        <v>0</v>
      </c>
      <c r="P165" s="25">
        <v>0</v>
      </c>
      <c r="Q165" s="25">
        <v>0</v>
      </c>
      <c r="R165" s="25">
        <v>0</v>
      </c>
      <c r="S165" s="25"/>
      <c r="T165" s="25">
        <v>3.1344652461133826E-2</v>
      </c>
      <c r="U165" s="25">
        <v>0</v>
      </c>
      <c r="V165" s="25">
        <v>0</v>
      </c>
      <c r="W165" s="25">
        <v>0</v>
      </c>
      <c r="X165" s="25">
        <f t="shared" si="14"/>
        <v>0.12151769893996264</v>
      </c>
      <c r="Y165" s="27">
        <f t="shared" si="15"/>
        <v>6.3555281872365406</v>
      </c>
      <c r="Z165" s="25">
        <f t="shared" si="16"/>
        <v>6.7490019732434833E-2</v>
      </c>
      <c r="AA165" s="49">
        <f t="shared" si="17"/>
        <v>2010</v>
      </c>
      <c r="AB165" s="29">
        <f t="shared" si="18"/>
        <v>3.529812747512282</v>
      </c>
      <c r="AC165" s="23">
        <f t="shared" si="19"/>
        <v>76</v>
      </c>
      <c r="AD165" s="23" t="str">
        <f t="shared" si="20"/>
        <v>No</v>
      </c>
    </row>
    <row r="166" spans="1:30" x14ac:dyDescent="0.3">
      <c r="A166" s="23">
        <v>165</v>
      </c>
      <c r="B166" s="21" t="s">
        <v>213</v>
      </c>
      <c r="C166" s="23" t="s">
        <v>488</v>
      </c>
      <c r="D166" s="23">
        <v>-2</v>
      </c>
      <c r="E166" s="23" t="s">
        <v>44</v>
      </c>
      <c r="F166" s="23" t="s">
        <v>42</v>
      </c>
      <c r="G166" s="25">
        <v>0.82</v>
      </c>
      <c r="H166" s="25">
        <v>1.86628964105107E-2</v>
      </c>
      <c r="I166" s="25">
        <v>2.8285411298031103E-2</v>
      </c>
      <c r="J166" s="25">
        <v>8.065099519928917E-4</v>
      </c>
      <c r="K166" s="25">
        <v>0</v>
      </c>
      <c r="L166" s="25">
        <v>0</v>
      </c>
      <c r="M166" s="25"/>
      <c r="N166" s="25">
        <v>0</v>
      </c>
      <c r="O166" s="25">
        <v>0</v>
      </c>
      <c r="P166" s="25">
        <v>4.1026117789524143E-4</v>
      </c>
      <c r="Q166" s="25">
        <v>0</v>
      </c>
      <c r="R166" s="25">
        <v>0</v>
      </c>
      <c r="S166" s="25"/>
      <c r="T166" s="25">
        <v>0.1050250865946005</v>
      </c>
      <c r="U166" s="25">
        <v>7.7941157820168885E-5</v>
      </c>
      <c r="V166" s="25">
        <v>1.6099290004768408E-4</v>
      </c>
      <c r="W166" s="25">
        <v>0</v>
      </c>
      <c r="X166" s="25">
        <f t="shared" si="14"/>
        <v>0.15342909949089828</v>
      </c>
      <c r="Y166" s="27">
        <f t="shared" si="15"/>
        <v>18.71086579157296</v>
      </c>
      <c r="Z166" s="25">
        <f t="shared" si="16"/>
        <v>0.1050250865946005</v>
      </c>
      <c r="AA166" s="49">
        <f t="shared" si="17"/>
        <v>2022</v>
      </c>
      <c r="AB166" s="29">
        <f t="shared" si="18"/>
        <v>12.807937389585428</v>
      </c>
      <c r="AC166" s="23">
        <f t="shared" si="19"/>
        <v>20</v>
      </c>
      <c r="AD166" s="23" t="str">
        <f t="shared" si="20"/>
        <v>Yes</v>
      </c>
    </row>
    <row r="167" spans="1:30" x14ac:dyDescent="0.3">
      <c r="A167" s="23">
        <v>166</v>
      </c>
      <c r="B167" s="21" t="s">
        <v>214</v>
      </c>
      <c r="C167" s="23" t="s">
        <v>489</v>
      </c>
      <c r="D167" s="23">
        <v>-3</v>
      </c>
      <c r="E167" s="23" t="s">
        <v>41</v>
      </c>
      <c r="F167" s="23" t="s">
        <v>42</v>
      </c>
      <c r="G167" s="25">
        <v>2.1</v>
      </c>
      <c r="H167" s="25">
        <v>2.9124115927420337E-2</v>
      </c>
      <c r="I167" s="25">
        <v>0</v>
      </c>
      <c r="J167" s="25">
        <v>6.0103076243166284E-4</v>
      </c>
      <c r="K167" s="25">
        <v>0</v>
      </c>
      <c r="L167" s="25">
        <v>0</v>
      </c>
      <c r="M167" s="25"/>
      <c r="N167" s="25">
        <v>0</v>
      </c>
      <c r="O167" s="25">
        <v>0</v>
      </c>
      <c r="P167" s="25">
        <v>0</v>
      </c>
      <c r="Q167" s="25">
        <v>0</v>
      </c>
      <c r="R167" s="25">
        <v>0</v>
      </c>
      <c r="S167" s="25"/>
      <c r="T167" s="25">
        <v>0.11107861731192706</v>
      </c>
      <c r="U167" s="25">
        <v>0</v>
      </c>
      <c r="V167" s="25">
        <v>0</v>
      </c>
      <c r="W167" s="25">
        <v>0</v>
      </c>
      <c r="X167" s="25">
        <f t="shared" si="14"/>
        <v>0.14080376400177905</v>
      </c>
      <c r="Y167" s="27">
        <f t="shared" si="15"/>
        <v>6.7049411429418591</v>
      </c>
      <c r="Z167" s="25">
        <f t="shared" si="16"/>
        <v>0.11107861731192706</v>
      </c>
      <c r="AA167" s="49">
        <f t="shared" si="17"/>
        <v>2022</v>
      </c>
      <c r="AB167" s="29">
        <f t="shared" si="18"/>
        <v>5.2894579672346218</v>
      </c>
      <c r="AC167" s="23">
        <f t="shared" si="19"/>
        <v>54</v>
      </c>
      <c r="AD167" s="23" t="str">
        <f t="shared" si="20"/>
        <v>No</v>
      </c>
    </row>
    <row r="168" spans="1:30" x14ac:dyDescent="0.3">
      <c r="A168" s="23">
        <v>167</v>
      </c>
      <c r="B168" s="21" t="s">
        <v>215</v>
      </c>
      <c r="C168" s="23" t="s">
        <v>490</v>
      </c>
      <c r="D168" s="23">
        <v>-2</v>
      </c>
      <c r="E168" s="23" t="s">
        <v>44</v>
      </c>
      <c r="F168" s="23" t="s">
        <v>42</v>
      </c>
      <c r="G168" s="25">
        <v>1.7130000000000001</v>
      </c>
      <c r="H168" s="25">
        <v>2.2744557519980154E-3</v>
      </c>
      <c r="I168" s="25">
        <v>0</v>
      </c>
      <c r="J168" s="25">
        <v>0</v>
      </c>
      <c r="K168" s="25">
        <v>0</v>
      </c>
      <c r="L168" s="25">
        <v>0</v>
      </c>
      <c r="M168" s="25"/>
      <c r="N168" s="25">
        <v>0</v>
      </c>
      <c r="O168" s="25">
        <v>0</v>
      </c>
      <c r="P168" s="25">
        <v>0</v>
      </c>
      <c r="Q168" s="25">
        <v>0</v>
      </c>
      <c r="R168" s="25">
        <v>0</v>
      </c>
      <c r="S168" s="25"/>
      <c r="T168" s="25">
        <v>0.12040701299879779</v>
      </c>
      <c r="U168" s="25">
        <v>7.2088991227114022E-3</v>
      </c>
      <c r="V168" s="25">
        <v>0</v>
      </c>
      <c r="W168" s="25">
        <v>1.3988301600830163E-4</v>
      </c>
      <c r="X168" s="25">
        <f t="shared" si="14"/>
        <v>0.13003025088951553</v>
      </c>
      <c r="Y168" s="27">
        <f t="shared" si="15"/>
        <v>7.5907910618514611</v>
      </c>
      <c r="Z168" s="25">
        <f t="shared" si="16"/>
        <v>0.12040701299879779</v>
      </c>
      <c r="AA168" s="49">
        <f t="shared" si="17"/>
        <v>2022</v>
      </c>
      <c r="AB168" s="29">
        <f t="shared" si="18"/>
        <v>7.0290141855690473</v>
      </c>
      <c r="AC168" s="23">
        <f t="shared" si="19"/>
        <v>41</v>
      </c>
      <c r="AD168" s="23" t="str">
        <f t="shared" si="20"/>
        <v>No</v>
      </c>
    </row>
    <row r="169" spans="1:30" x14ac:dyDescent="0.3">
      <c r="A169" s="23">
        <v>168</v>
      </c>
      <c r="B169" s="21" t="s">
        <v>216</v>
      </c>
      <c r="C169" s="23" t="s">
        <v>491</v>
      </c>
      <c r="D169" s="23">
        <v>-3</v>
      </c>
      <c r="E169" s="23" t="s">
        <v>41</v>
      </c>
      <c r="F169" s="23" t="s">
        <v>42</v>
      </c>
      <c r="G169" s="25">
        <v>1.96</v>
      </c>
      <c r="H169" s="25">
        <v>3.1556584739496935E-2</v>
      </c>
      <c r="I169" s="25">
        <v>0</v>
      </c>
      <c r="J169" s="25">
        <v>0</v>
      </c>
      <c r="K169" s="25">
        <v>0</v>
      </c>
      <c r="L169" s="25">
        <v>0</v>
      </c>
      <c r="M169" s="25"/>
      <c r="N169" s="25">
        <v>0</v>
      </c>
      <c r="O169" s="25">
        <v>0</v>
      </c>
      <c r="P169" s="25">
        <v>0</v>
      </c>
      <c r="Q169" s="25">
        <v>0</v>
      </c>
      <c r="R169" s="25">
        <v>0</v>
      </c>
      <c r="S169" s="25"/>
      <c r="T169" s="25">
        <v>2.6237357805952814E-3</v>
      </c>
      <c r="U169" s="25">
        <v>0</v>
      </c>
      <c r="V169" s="25">
        <v>0</v>
      </c>
      <c r="W169" s="25">
        <v>0</v>
      </c>
      <c r="X169" s="25">
        <f t="shared" si="14"/>
        <v>3.4180320520092219E-2</v>
      </c>
      <c r="Y169" s="27">
        <f t="shared" si="15"/>
        <v>1.7438939040863379</v>
      </c>
      <c r="Z169" s="25">
        <f t="shared" si="16"/>
        <v>3.1556584739496935E-2</v>
      </c>
      <c r="AA169" s="49">
        <f t="shared" si="17"/>
        <v>2010</v>
      </c>
      <c r="AB169" s="29">
        <f t="shared" si="18"/>
        <v>1.6100298336478029</v>
      </c>
      <c r="AC169" s="23">
        <f t="shared" si="19"/>
        <v>124</v>
      </c>
      <c r="AD169" s="23" t="str">
        <f t="shared" si="20"/>
        <v>No</v>
      </c>
    </row>
    <row r="170" spans="1:30" x14ac:dyDescent="0.3">
      <c r="A170" s="23">
        <v>169</v>
      </c>
      <c r="B170" s="21" t="s">
        <v>217</v>
      </c>
      <c r="C170" s="23" t="s">
        <v>492</v>
      </c>
      <c r="D170" s="23">
        <v>-4</v>
      </c>
      <c r="E170" s="23" t="s">
        <v>46</v>
      </c>
      <c r="F170" s="23" t="s">
        <v>42</v>
      </c>
      <c r="G170" s="25">
        <v>1.4119999999999999</v>
      </c>
      <c r="H170" s="25">
        <v>0</v>
      </c>
      <c r="I170" s="25">
        <v>0</v>
      </c>
      <c r="J170" s="25">
        <v>2.5461894227276206E-4</v>
      </c>
      <c r="K170" s="25">
        <v>0</v>
      </c>
      <c r="L170" s="25">
        <v>0</v>
      </c>
      <c r="M170" s="25"/>
      <c r="N170" s="25">
        <v>0</v>
      </c>
      <c r="O170" s="25">
        <v>0</v>
      </c>
      <c r="P170" s="25">
        <v>0</v>
      </c>
      <c r="Q170" s="25">
        <v>0</v>
      </c>
      <c r="R170" s="25">
        <v>0</v>
      </c>
      <c r="S170" s="25"/>
      <c r="T170" s="25">
        <v>5.4477725401322494E-2</v>
      </c>
      <c r="U170" s="25">
        <v>4.2171862025206794E-3</v>
      </c>
      <c r="V170" s="25">
        <v>0</v>
      </c>
      <c r="W170" s="25">
        <v>0</v>
      </c>
      <c r="X170" s="25">
        <f t="shared" si="14"/>
        <v>5.8949530546115937E-2</v>
      </c>
      <c r="Y170" s="27">
        <f t="shared" si="15"/>
        <v>4.1748959310280407</v>
      </c>
      <c r="Z170" s="25">
        <f t="shared" si="16"/>
        <v>5.4477725401322494E-2</v>
      </c>
      <c r="AA170" s="49">
        <f t="shared" si="17"/>
        <v>2022</v>
      </c>
      <c r="AB170" s="29">
        <f t="shared" si="18"/>
        <v>3.8581958499520184</v>
      </c>
      <c r="AC170" s="23">
        <f t="shared" si="19"/>
        <v>64</v>
      </c>
      <c r="AD170" s="23" t="str">
        <f t="shared" si="20"/>
        <v>No</v>
      </c>
    </row>
    <row r="171" spans="1:30" x14ac:dyDescent="0.3">
      <c r="A171" s="23">
        <v>170</v>
      </c>
      <c r="B171" s="21" t="s">
        <v>218</v>
      </c>
      <c r="C171" s="23" t="s">
        <v>493</v>
      </c>
      <c r="D171" s="23">
        <v>-2</v>
      </c>
      <c r="E171" s="23" t="s">
        <v>44</v>
      </c>
      <c r="F171" s="23" t="s">
        <v>42</v>
      </c>
      <c r="G171" s="25">
        <v>3.4910000000000001</v>
      </c>
      <c r="H171" s="25">
        <v>2.3737687076497059E-2</v>
      </c>
      <c r="I171" s="25">
        <v>0</v>
      </c>
      <c r="J171" s="25">
        <v>0</v>
      </c>
      <c r="K171" s="25">
        <v>0</v>
      </c>
      <c r="L171" s="25">
        <v>0</v>
      </c>
      <c r="M171" s="25"/>
      <c r="N171" s="25">
        <v>0</v>
      </c>
      <c r="O171" s="25">
        <v>0</v>
      </c>
      <c r="P171" s="25">
        <v>0</v>
      </c>
      <c r="Q171" s="25">
        <v>0</v>
      </c>
      <c r="R171" s="25">
        <v>0</v>
      </c>
      <c r="S171" s="25"/>
      <c r="T171" s="25">
        <v>1.2631060181018505E-2</v>
      </c>
      <c r="U171" s="25">
        <v>2.3978046010243996E-4</v>
      </c>
      <c r="V171" s="25">
        <v>0</v>
      </c>
      <c r="W171" s="25">
        <v>0</v>
      </c>
      <c r="X171" s="25">
        <f t="shared" si="14"/>
        <v>3.6608527717618002E-2</v>
      </c>
      <c r="Y171" s="27">
        <f t="shared" si="15"/>
        <v>1.0486544748673161</v>
      </c>
      <c r="Z171" s="25">
        <f t="shared" si="16"/>
        <v>2.3737687076497059E-2</v>
      </c>
      <c r="AA171" s="49">
        <f t="shared" si="17"/>
        <v>2010</v>
      </c>
      <c r="AB171" s="29">
        <f t="shared" si="18"/>
        <v>0.67996812020902486</v>
      </c>
      <c r="AC171" s="23">
        <f t="shared" si="19"/>
        <v>158</v>
      </c>
      <c r="AD171" s="23" t="str">
        <f t="shared" si="20"/>
        <v>No</v>
      </c>
    </row>
    <row r="172" spans="1:30" x14ac:dyDescent="0.3">
      <c r="A172" s="23">
        <v>171</v>
      </c>
      <c r="B172" s="21" t="s">
        <v>219</v>
      </c>
      <c r="C172" s="23" t="s">
        <v>494</v>
      </c>
      <c r="D172" s="23">
        <v>-2</v>
      </c>
      <c r="E172" s="23" t="s">
        <v>44</v>
      </c>
      <c r="F172" s="23" t="s">
        <v>42</v>
      </c>
      <c r="G172" s="25">
        <v>1.905</v>
      </c>
      <c r="H172" s="25">
        <v>3.8666628127492497E-2</v>
      </c>
      <c r="I172" s="25">
        <v>0</v>
      </c>
      <c r="J172" s="25">
        <v>1.242475421842537E-4</v>
      </c>
      <c r="K172" s="25">
        <v>0</v>
      </c>
      <c r="L172" s="25">
        <v>0</v>
      </c>
      <c r="M172" s="25"/>
      <c r="N172" s="25">
        <v>0</v>
      </c>
      <c r="O172" s="25">
        <v>0</v>
      </c>
      <c r="P172" s="25">
        <v>0</v>
      </c>
      <c r="Q172" s="25">
        <v>0</v>
      </c>
      <c r="R172" s="25">
        <v>0</v>
      </c>
      <c r="S172" s="25"/>
      <c r="T172" s="25">
        <v>0.17816016919091218</v>
      </c>
      <c r="U172" s="25">
        <v>0</v>
      </c>
      <c r="V172" s="25">
        <v>0</v>
      </c>
      <c r="W172" s="25">
        <v>8.0590363483893453E-4</v>
      </c>
      <c r="X172" s="25">
        <f t="shared" si="14"/>
        <v>0.21775694849542787</v>
      </c>
      <c r="Y172" s="27">
        <f t="shared" si="15"/>
        <v>11.430810944641882</v>
      </c>
      <c r="Z172" s="25">
        <f t="shared" si="16"/>
        <v>0.17816016919091218</v>
      </c>
      <c r="AA172" s="49">
        <f t="shared" si="17"/>
        <v>2022</v>
      </c>
      <c r="AB172" s="29">
        <f t="shared" si="18"/>
        <v>9.352239852541322</v>
      </c>
      <c r="AC172" s="23">
        <f t="shared" si="19"/>
        <v>29</v>
      </c>
      <c r="AD172" s="23" t="str">
        <f t="shared" si="20"/>
        <v>No</v>
      </c>
    </row>
    <row r="173" spans="1:30" x14ac:dyDescent="0.3">
      <c r="A173" s="23">
        <v>172</v>
      </c>
      <c r="B173" s="21" t="s">
        <v>220</v>
      </c>
      <c r="C173" s="23" t="s">
        <v>495</v>
      </c>
      <c r="D173" s="23">
        <v>-3</v>
      </c>
      <c r="E173" s="23" t="s">
        <v>41</v>
      </c>
      <c r="F173" s="23" t="s">
        <v>42</v>
      </c>
      <c r="G173" s="25">
        <v>2.706</v>
      </c>
      <c r="H173" s="25">
        <v>0.17834431061798217</v>
      </c>
      <c r="I173" s="25">
        <v>1.474293700399797E-2</v>
      </c>
      <c r="J173" s="25">
        <v>0</v>
      </c>
      <c r="K173" s="25">
        <v>0</v>
      </c>
      <c r="L173" s="25">
        <v>0</v>
      </c>
      <c r="M173" s="25"/>
      <c r="N173" s="25">
        <v>0</v>
      </c>
      <c r="O173" s="25">
        <v>0</v>
      </c>
      <c r="P173" s="25">
        <v>0</v>
      </c>
      <c r="Q173" s="25">
        <v>0</v>
      </c>
      <c r="R173" s="25">
        <v>0</v>
      </c>
      <c r="S173" s="25"/>
      <c r="T173" s="25">
        <v>0.42627544432430664</v>
      </c>
      <c r="U173" s="25">
        <v>2.674287604067402E-3</v>
      </c>
      <c r="V173" s="25">
        <v>7.3847571579017674E-4</v>
      </c>
      <c r="W173" s="25">
        <v>0</v>
      </c>
      <c r="X173" s="25">
        <f t="shared" si="14"/>
        <v>0.62277545526614442</v>
      </c>
      <c r="Y173" s="27">
        <f t="shared" si="15"/>
        <v>23.01461401574813</v>
      </c>
      <c r="Z173" s="25">
        <f t="shared" si="16"/>
        <v>0.42627544432430664</v>
      </c>
      <c r="AA173" s="49">
        <f t="shared" si="17"/>
        <v>2022</v>
      </c>
      <c r="AB173" s="29">
        <f t="shared" si="18"/>
        <v>15.752972813167283</v>
      </c>
      <c r="AC173" s="23">
        <f t="shared" si="19"/>
        <v>16</v>
      </c>
      <c r="AD173" s="23" t="str">
        <f t="shared" si="20"/>
        <v>Yes</v>
      </c>
    </row>
    <row r="174" spans="1:30" x14ac:dyDescent="0.3">
      <c r="A174" s="23">
        <v>173</v>
      </c>
      <c r="B174" s="21" t="s">
        <v>221</v>
      </c>
      <c r="C174" s="23" t="s">
        <v>496</v>
      </c>
      <c r="D174" s="23">
        <v>-3</v>
      </c>
      <c r="E174" s="23" t="s">
        <v>41</v>
      </c>
      <c r="F174" s="23" t="s">
        <v>42</v>
      </c>
      <c r="G174" s="25">
        <v>1.698</v>
      </c>
      <c r="H174" s="25">
        <v>0</v>
      </c>
      <c r="I174" s="25">
        <v>3.2898793750352213E-2</v>
      </c>
      <c r="J174" s="25">
        <v>0</v>
      </c>
      <c r="K174" s="25">
        <v>0</v>
      </c>
      <c r="L174" s="25">
        <v>0</v>
      </c>
      <c r="M174" s="25"/>
      <c r="N174" s="25">
        <v>0</v>
      </c>
      <c r="O174" s="25">
        <v>0</v>
      </c>
      <c r="P174" s="25">
        <v>0</v>
      </c>
      <c r="Q174" s="25">
        <v>0</v>
      </c>
      <c r="R174" s="25">
        <v>0</v>
      </c>
      <c r="S174" s="25"/>
      <c r="T174" s="25">
        <v>1.9219758820619774E-2</v>
      </c>
      <c r="U174" s="25">
        <v>0</v>
      </c>
      <c r="V174" s="25">
        <v>0</v>
      </c>
      <c r="W174" s="25">
        <v>0</v>
      </c>
      <c r="X174" s="25">
        <f t="shared" si="14"/>
        <v>5.211855257097199E-2</v>
      </c>
      <c r="Y174" s="27">
        <f t="shared" si="15"/>
        <v>3.0694082786202586</v>
      </c>
      <c r="Z174" s="25">
        <f t="shared" si="16"/>
        <v>3.2898793750352213E-2</v>
      </c>
      <c r="AA174" s="49">
        <f t="shared" si="17"/>
        <v>2011</v>
      </c>
      <c r="AB174" s="29">
        <f t="shared" si="18"/>
        <v>1.9375025765814025</v>
      </c>
      <c r="AC174" s="23">
        <f t="shared" si="19"/>
        <v>113</v>
      </c>
      <c r="AD174" s="23" t="str">
        <f t="shared" si="20"/>
        <v>No</v>
      </c>
    </row>
    <row r="175" spans="1:30" x14ac:dyDescent="0.3">
      <c r="A175" s="23">
        <v>174</v>
      </c>
      <c r="B175" s="21" t="s">
        <v>222</v>
      </c>
      <c r="C175" s="23" t="s">
        <v>497</v>
      </c>
      <c r="D175" s="23">
        <v>-2</v>
      </c>
      <c r="E175" s="23" t="s">
        <v>44</v>
      </c>
      <c r="F175" s="23" t="s">
        <v>42</v>
      </c>
      <c r="G175" s="25">
        <v>1.9419999999999999</v>
      </c>
      <c r="H175" s="25">
        <v>0.17037498262448908</v>
      </c>
      <c r="I175" s="25">
        <v>6.1839065683602819E-2</v>
      </c>
      <c r="J175" s="25">
        <v>0</v>
      </c>
      <c r="K175" s="25">
        <v>0</v>
      </c>
      <c r="L175" s="25">
        <v>0</v>
      </c>
      <c r="M175" s="25"/>
      <c r="N175" s="25">
        <v>0</v>
      </c>
      <c r="O175" s="25">
        <v>0</v>
      </c>
      <c r="P175" s="25">
        <v>0</v>
      </c>
      <c r="Q175" s="25">
        <v>0</v>
      </c>
      <c r="R175" s="25">
        <v>8.9326951551891404E-5</v>
      </c>
      <c r="S175" s="25"/>
      <c r="T175" s="25">
        <v>0.24316538492013584</v>
      </c>
      <c r="U175" s="25">
        <v>2.2646025162839214E-4</v>
      </c>
      <c r="V175" s="25">
        <v>3.7214453465255794E-4</v>
      </c>
      <c r="W175" s="25">
        <v>0</v>
      </c>
      <c r="X175" s="25">
        <f t="shared" si="14"/>
        <v>0.47606736496606056</v>
      </c>
      <c r="Y175" s="27">
        <f t="shared" si="15"/>
        <v>24.514282439035046</v>
      </c>
      <c r="Z175" s="25">
        <f t="shared" si="16"/>
        <v>0.24316538492013584</v>
      </c>
      <c r="AA175" s="49">
        <f t="shared" si="17"/>
        <v>2022</v>
      </c>
      <c r="AB175" s="29">
        <f t="shared" si="18"/>
        <v>12.521389542746439</v>
      </c>
      <c r="AC175" s="23">
        <f t="shared" si="19"/>
        <v>21</v>
      </c>
      <c r="AD175" s="23" t="str">
        <f t="shared" si="20"/>
        <v>Yes</v>
      </c>
    </row>
    <row r="176" spans="1:30" x14ac:dyDescent="0.3">
      <c r="A176" s="23">
        <v>175</v>
      </c>
      <c r="B176" s="21" t="s">
        <v>223</v>
      </c>
      <c r="C176" s="23" t="s">
        <v>498</v>
      </c>
      <c r="D176" s="23">
        <v>-4</v>
      </c>
      <c r="E176" s="23" t="s">
        <v>46</v>
      </c>
      <c r="F176" s="23" t="s">
        <v>42</v>
      </c>
      <c r="G176" s="25">
        <v>1.2829999999999999</v>
      </c>
      <c r="H176" s="25">
        <v>0</v>
      </c>
      <c r="I176" s="25">
        <v>0</v>
      </c>
      <c r="J176" s="25">
        <v>7.9267850121366788E-5</v>
      </c>
      <c r="K176" s="25">
        <v>0</v>
      </c>
      <c r="L176" s="25">
        <v>0</v>
      </c>
      <c r="M176" s="25"/>
      <c r="N176" s="25">
        <v>0</v>
      </c>
      <c r="O176" s="25">
        <v>0</v>
      </c>
      <c r="P176" s="25">
        <v>0</v>
      </c>
      <c r="Q176" s="25">
        <v>0</v>
      </c>
      <c r="R176" s="25">
        <v>0</v>
      </c>
      <c r="S176" s="25"/>
      <c r="T176" s="25">
        <v>3.414405148524802E-3</v>
      </c>
      <c r="U176" s="25">
        <v>3.2608605011661714E-4</v>
      </c>
      <c r="V176" s="25">
        <v>3.2608605011622422E-4</v>
      </c>
      <c r="W176" s="25">
        <v>0</v>
      </c>
      <c r="X176" s="25">
        <f t="shared" si="14"/>
        <v>4.1458450988790096E-3</v>
      </c>
      <c r="Y176" s="27">
        <f t="shared" si="15"/>
        <v>0.32313679648316523</v>
      </c>
      <c r="Z176" s="25">
        <f t="shared" si="16"/>
        <v>3.414405148524802E-3</v>
      </c>
      <c r="AA176" s="49">
        <f t="shared" si="17"/>
        <v>2022</v>
      </c>
      <c r="AB176" s="29">
        <f t="shared" si="18"/>
        <v>0.26612666785072503</v>
      </c>
      <c r="AC176" s="23">
        <f t="shared" si="19"/>
        <v>180</v>
      </c>
      <c r="AD176" s="23" t="str">
        <f t="shared" si="20"/>
        <v>No</v>
      </c>
    </row>
    <row r="177" spans="1:30" x14ac:dyDescent="0.3">
      <c r="A177" s="23">
        <v>176</v>
      </c>
      <c r="B177" s="21" t="s">
        <v>224</v>
      </c>
      <c r="C177" s="23" t="s">
        <v>499</v>
      </c>
      <c r="D177" s="23">
        <v>-3</v>
      </c>
      <c r="E177" s="23" t="s">
        <v>41</v>
      </c>
      <c r="F177" s="23" t="s">
        <v>42</v>
      </c>
      <c r="G177" s="25">
        <v>1.9890000000000001</v>
      </c>
      <c r="H177" s="25">
        <v>2.9252290428999583E-2</v>
      </c>
      <c r="I177" s="25">
        <v>5.4130681925006214E-3</v>
      </c>
      <c r="J177" s="25">
        <v>0</v>
      </c>
      <c r="K177" s="25">
        <v>0</v>
      </c>
      <c r="L177" s="25">
        <v>0</v>
      </c>
      <c r="M177" s="25"/>
      <c r="N177" s="25">
        <v>0</v>
      </c>
      <c r="O177" s="25">
        <v>0</v>
      </c>
      <c r="P177" s="25">
        <v>0</v>
      </c>
      <c r="Q177" s="25">
        <v>0</v>
      </c>
      <c r="R177" s="25">
        <v>0</v>
      </c>
      <c r="S177" s="25"/>
      <c r="T177" s="25">
        <v>4.5502600319606602E-2</v>
      </c>
      <c r="U177" s="25">
        <v>0</v>
      </c>
      <c r="V177" s="25">
        <v>9.2573800015379677E-5</v>
      </c>
      <c r="W177" s="25">
        <v>0</v>
      </c>
      <c r="X177" s="25">
        <f t="shared" si="14"/>
        <v>8.0260532741122201E-2</v>
      </c>
      <c r="Y177" s="27">
        <f t="shared" si="15"/>
        <v>4.035220348975475</v>
      </c>
      <c r="Z177" s="25">
        <f t="shared" si="16"/>
        <v>4.5502600319606602E-2</v>
      </c>
      <c r="AA177" s="49">
        <f t="shared" si="17"/>
        <v>2022</v>
      </c>
      <c r="AB177" s="29">
        <f t="shared" si="18"/>
        <v>2.2877124343693613</v>
      </c>
      <c r="AC177" s="23">
        <f t="shared" si="19"/>
        <v>106</v>
      </c>
      <c r="AD177" s="23" t="str">
        <f t="shared" si="20"/>
        <v>No</v>
      </c>
    </row>
    <row r="178" spans="1:30" x14ac:dyDescent="0.3">
      <c r="A178" s="23">
        <v>177</v>
      </c>
      <c r="B178" s="21" t="s">
        <v>225</v>
      </c>
      <c r="C178" s="23" t="s">
        <v>500</v>
      </c>
      <c r="D178" s="23">
        <v>-2</v>
      </c>
      <c r="E178" s="23" t="s">
        <v>44</v>
      </c>
      <c r="F178" s="23" t="s">
        <v>42</v>
      </c>
      <c r="G178" s="25">
        <v>2.02</v>
      </c>
      <c r="H178" s="25">
        <v>8.5027928652520235E-2</v>
      </c>
      <c r="I178" s="25">
        <v>7.7151707964967934E-3</v>
      </c>
      <c r="J178" s="25">
        <v>0</v>
      </c>
      <c r="K178" s="25">
        <v>0</v>
      </c>
      <c r="L178" s="25">
        <v>0</v>
      </c>
      <c r="M178" s="25"/>
      <c r="N178" s="25">
        <v>0</v>
      </c>
      <c r="O178" s="25">
        <v>0</v>
      </c>
      <c r="P178" s="25">
        <v>0</v>
      </c>
      <c r="Q178" s="25">
        <v>0</v>
      </c>
      <c r="R178" s="25">
        <v>0</v>
      </c>
      <c r="S178" s="25"/>
      <c r="T178" s="25">
        <v>0.37336057710970527</v>
      </c>
      <c r="U178" s="25">
        <v>0</v>
      </c>
      <c r="V178" s="25">
        <v>1.420745970358803E-4</v>
      </c>
      <c r="W178" s="25">
        <v>0</v>
      </c>
      <c r="X178" s="25">
        <f t="shared" si="14"/>
        <v>0.46624575115575817</v>
      </c>
      <c r="Y178" s="27">
        <f t="shared" si="15"/>
        <v>23.081472829492977</v>
      </c>
      <c r="Z178" s="25">
        <f t="shared" si="16"/>
        <v>0.37336057710970527</v>
      </c>
      <c r="AA178" s="49">
        <f t="shared" si="17"/>
        <v>2022</v>
      </c>
      <c r="AB178" s="29">
        <f t="shared" si="18"/>
        <v>18.483196886619073</v>
      </c>
      <c r="AC178" s="23">
        <f t="shared" si="19"/>
        <v>14</v>
      </c>
      <c r="AD178" s="23" t="str">
        <f t="shared" si="20"/>
        <v>Yes</v>
      </c>
    </row>
    <row r="179" spans="1:30" x14ac:dyDescent="0.3">
      <c r="A179" s="23">
        <v>178</v>
      </c>
      <c r="B179" s="21" t="s">
        <v>226</v>
      </c>
      <c r="C179" s="23" t="s">
        <v>501</v>
      </c>
      <c r="D179" s="23">
        <v>-3</v>
      </c>
      <c r="E179" s="23" t="s">
        <v>41</v>
      </c>
      <c r="F179" s="23" t="s">
        <v>42</v>
      </c>
      <c r="G179" s="25">
        <v>3.746</v>
      </c>
      <c r="H179" s="25">
        <v>0</v>
      </c>
      <c r="I179" s="25">
        <v>0</v>
      </c>
      <c r="J179" s="25">
        <v>0</v>
      </c>
      <c r="K179" s="25">
        <v>0</v>
      </c>
      <c r="L179" s="25">
        <v>0</v>
      </c>
      <c r="M179" s="25"/>
      <c r="N179" s="25">
        <v>0</v>
      </c>
      <c r="O179" s="25">
        <v>0</v>
      </c>
      <c r="P179" s="25">
        <v>0</v>
      </c>
      <c r="Q179" s="25">
        <v>0</v>
      </c>
      <c r="R179" s="25">
        <v>0</v>
      </c>
      <c r="S179" s="25"/>
      <c r="T179" s="25">
        <v>2.5232673776276623E-2</v>
      </c>
      <c r="U179" s="25">
        <v>0</v>
      </c>
      <c r="V179" s="25">
        <v>0</v>
      </c>
      <c r="W179" s="25">
        <v>0</v>
      </c>
      <c r="X179" s="25">
        <f t="shared" si="14"/>
        <v>2.5232673776276623E-2</v>
      </c>
      <c r="Y179" s="27">
        <f t="shared" si="15"/>
        <v>0.67358979648362582</v>
      </c>
      <c r="Z179" s="25">
        <f t="shared" si="16"/>
        <v>2.5232673776276623E-2</v>
      </c>
      <c r="AA179" s="49">
        <f t="shared" si="17"/>
        <v>2022</v>
      </c>
      <c r="AB179" s="29">
        <f t="shared" si="18"/>
        <v>0.67358979648362582</v>
      </c>
      <c r="AC179" s="23">
        <f t="shared" si="19"/>
        <v>159</v>
      </c>
      <c r="AD179" s="23" t="str">
        <f t="shared" si="20"/>
        <v>No</v>
      </c>
    </row>
    <row r="180" spans="1:30" x14ac:dyDescent="0.3">
      <c r="A180" s="23">
        <v>179</v>
      </c>
      <c r="B180" s="21" t="s">
        <v>227</v>
      </c>
      <c r="C180" s="23" t="s">
        <v>502</v>
      </c>
      <c r="D180" s="23">
        <v>-3</v>
      </c>
      <c r="E180" s="23" t="s">
        <v>41</v>
      </c>
      <c r="F180" s="23" t="s">
        <v>42</v>
      </c>
      <c r="G180" s="25">
        <v>1.86</v>
      </c>
      <c r="H180" s="25">
        <v>9.9795600144935298E-3</v>
      </c>
      <c r="I180" s="25">
        <v>0</v>
      </c>
      <c r="J180" s="25">
        <v>0</v>
      </c>
      <c r="K180" s="25">
        <v>0</v>
      </c>
      <c r="L180" s="25">
        <v>0</v>
      </c>
      <c r="M180" s="25"/>
      <c r="N180" s="25">
        <v>0</v>
      </c>
      <c r="O180" s="25">
        <v>0</v>
      </c>
      <c r="P180" s="25">
        <v>0</v>
      </c>
      <c r="Q180" s="25">
        <v>0</v>
      </c>
      <c r="R180" s="25">
        <v>0</v>
      </c>
      <c r="S180" s="25"/>
      <c r="T180" s="25">
        <v>6.8920192550534123E-2</v>
      </c>
      <c r="U180" s="25">
        <v>0</v>
      </c>
      <c r="V180" s="25">
        <v>0</v>
      </c>
      <c r="W180" s="25">
        <v>0</v>
      </c>
      <c r="X180" s="25">
        <f t="shared" si="14"/>
        <v>7.8899752565027653E-2</v>
      </c>
      <c r="Y180" s="27">
        <f t="shared" si="15"/>
        <v>4.2419221809154655</v>
      </c>
      <c r="Z180" s="25">
        <f t="shared" si="16"/>
        <v>6.8920192550534123E-2</v>
      </c>
      <c r="AA180" s="49">
        <f t="shared" si="17"/>
        <v>2022</v>
      </c>
      <c r="AB180" s="29">
        <f t="shared" si="18"/>
        <v>3.7053866962652755</v>
      </c>
      <c r="AC180" s="23">
        <f t="shared" si="19"/>
        <v>70</v>
      </c>
      <c r="AD180" s="23" t="str">
        <f t="shared" si="20"/>
        <v>No</v>
      </c>
    </row>
    <row r="181" spans="1:30" x14ac:dyDescent="0.3">
      <c r="A181" s="23">
        <v>180</v>
      </c>
      <c r="B181" s="21" t="s">
        <v>228</v>
      </c>
      <c r="C181" s="23" t="s">
        <v>503</v>
      </c>
      <c r="D181" s="23">
        <v>-3</v>
      </c>
      <c r="E181" s="23" t="s">
        <v>41</v>
      </c>
      <c r="F181" s="23" t="s">
        <v>42</v>
      </c>
      <c r="G181" s="25">
        <v>1.9330000000000001</v>
      </c>
      <c r="H181" s="25">
        <v>0.12231502421734568</v>
      </c>
      <c r="I181" s="25">
        <v>4.0286767464054067E-2</v>
      </c>
      <c r="J181" s="25">
        <v>6.573689249298768E-4</v>
      </c>
      <c r="K181" s="25">
        <v>0</v>
      </c>
      <c r="L181" s="25">
        <v>0</v>
      </c>
      <c r="M181" s="25"/>
      <c r="N181" s="25">
        <v>0</v>
      </c>
      <c r="O181" s="25">
        <v>0</v>
      </c>
      <c r="P181" s="25">
        <v>0</v>
      </c>
      <c r="Q181" s="25">
        <v>0</v>
      </c>
      <c r="R181" s="25">
        <v>0</v>
      </c>
      <c r="S181" s="25"/>
      <c r="T181" s="25">
        <v>4.6158058890620565E-2</v>
      </c>
      <c r="U181" s="25">
        <v>0</v>
      </c>
      <c r="V181" s="25">
        <v>0</v>
      </c>
      <c r="W181" s="25">
        <v>0</v>
      </c>
      <c r="X181" s="25">
        <f t="shared" si="14"/>
        <v>0.20941721949695019</v>
      </c>
      <c r="Y181" s="27">
        <f t="shared" si="15"/>
        <v>10.833793041746</v>
      </c>
      <c r="Z181" s="25">
        <f t="shared" si="16"/>
        <v>0.12231502421734568</v>
      </c>
      <c r="AA181" s="49">
        <f t="shared" si="17"/>
        <v>2010</v>
      </c>
      <c r="AB181" s="29">
        <f t="shared" si="18"/>
        <v>6.3277301716164347</v>
      </c>
      <c r="AC181" s="23">
        <f t="shared" si="19"/>
        <v>48</v>
      </c>
      <c r="AD181" s="23" t="str">
        <f t="shared" si="20"/>
        <v>No</v>
      </c>
    </row>
    <row r="182" spans="1:30" x14ac:dyDescent="0.3">
      <c r="A182" s="23">
        <v>181</v>
      </c>
      <c r="B182" s="21" t="s">
        <v>229</v>
      </c>
      <c r="C182" s="23" t="s">
        <v>504</v>
      </c>
      <c r="D182" s="23">
        <v>-3</v>
      </c>
      <c r="E182" s="23" t="s">
        <v>41</v>
      </c>
      <c r="F182" s="23" t="s">
        <v>42</v>
      </c>
      <c r="G182" s="25">
        <v>1.8169999999999999</v>
      </c>
      <c r="H182" s="25">
        <v>2.2785201872001722E-2</v>
      </c>
      <c r="I182" s="25">
        <v>0</v>
      </c>
      <c r="J182" s="25">
        <v>5.2620759981288577E-4</v>
      </c>
      <c r="K182" s="25">
        <v>0</v>
      </c>
      <c r="L182" s="25">
        <v>0</v>
      </c>
      <c r="M182" s="25"/>
      <c r="N182" s="25">
        <v>0</v>
      </c>
      <c r="O182" s="25">
        <v>0</v>
      </c>
      <c r="P182" s="25">
        <v>1.8417363493749872E-4</v>
      </c>
      <c r="Q182" s="25">
        <v>0</v>
      </c>
      <c r="R182" s="25">
        <v>0</v>
      </c>
      <c r="S182" s="25"/>
      <c r="T182" s="25">
        <v>1.0275733133554517E-2</v>
      </c>
      <c r="U182" s="25">
        <v>2.7081520010693931E-4</v>
      </c>
      <c r="V182" s="25">
        <v>0</v>
      </c>
      <c r="W182" s="25">
        <v>0</v>
      </c>
      <c r="X182" s="25">
        <f t="shared" si="14"/>
        <v>3.4042131440413556E-2</v>
      </c>
      <c r="Y182" s="27">
        <f t="shared" si="15"/>
        <v>1.8735350269902893</v>
      </c>
      <c r="Z182" s="25">
        <f t="shared" si="16"/>
        <v>2.2785201872001722E-2</v>
      </c>
      <c r="AA182" s="49">
        <f t="shared" si="17"/>
        <v>2010</v>
      </c>
      <c r="AB182" s="29">
        <f t="shared" si="18"/>
        <v>1.2540012037425274</v>
      </c>
      <c r="AC182" s="23">
        <f t="shared" si="19"/>
        <v>136</v>
      </c>
      <c r="AD182" s="23" t="str">
        <f t="shared" si="20"/>
        <v>No</v>
      </c>
    </row>
    <row r="183" spans="1:30" x14ac:dyDescent="0.3">
      <c r="A183" s="23">
        <v>182</v>
      </c>
      <c r="B183" s="21" t="s">
        <v>230</v>
      </c>
      <c r="C183" s="23" t="s">
        <v>505</v>
      </c>
      <c r="D183" s="23">
        <v>-2</v>
      </c>
      <c r="E183" s="23" t="s">
        <v>44</v>
      </c>
      <c r="F183" s="23" t="s">
        <v>42</v>
      </c>
      <c r="G183" s="25">
        <v>5.4</v>
      </c>
      <c r="H183" s="25">
        <v>0</v>
      </c>
      <c r="I183" s="25">
        <v>8.2349014464901237E-3</v>
      </c>
      <c r="J183" s="25">
        <v>0</v>
      </c>
      <c r="K183" s="25">
        <v>0</v>
      </c>
      <c r="L183" s="25">
        <v>0</v>
      </c>
      <c r="M183" s="25"/>
      <c r="N183" s="25">
        <v>0</v>
      </c>
      <c r="O183" s="25">
        <v>0</v>
      </c>
      <c r="P183" s="25">
        <v>0</v>
      </c>
      <c r="Q183" s="25">
        <v>0</v>
      </c>
      <c r="R183" s="25">
        <v>0</v>
      </c>
      <c r="S183" s="25"/>
      <c r="T183" s="25">
        <v>0.36003894584240925</v>
      </c>
      <c r="U183" s="25">
        <v>3.562138000763953E-4</v>
      </c>
      <c r="V183" s="25">
        <v>0</v>
      </c>
      <c r="W183" s="25">
        <v>0</v>
      </c>
      <c r="X183" s="25">
        <f t="shared" si="14"/>
        <v>0.36863006108897578</v>
      </c>
      <c r="Y183" s="27">
        <f t="shared" si="15"/>
        <v>6.8264826127588112</v>
      </c>
      <c r="Z183" s="25">
        <f t="shared" si="16"/>
        <v>0.36003894584240925</v>
      </c>
      <c r="AA183" s="49">
        <f t="shared" si="17"/>
        <v>2022</v>
      </c>
      <c r="AB183" s="29">
        <f t="shared" si="18"/>
        <v>6.6673878859705411</v>
      </c>
      <c r="AC183" s="23">
        <f t="shared" si="19"/>
        <v>44</v>
      </c>
      <c r="AD183" s="23" t="str">
        <f t="shared" si="20"/>
        <v>No</v>
      </c>
    </row>
    <row r="184" spans="1:30" x14ac:dyDescent="0.3">
      <c r="A184" s="23">
        <v>183</v>
      </c>
      <c r="B184" s="21" t="s">
        <v>231</v>
      </c>
      <c r="C184" s="23" t="s">
        <v>506</v>
      </c>
      <c r="D184" s="23">
        <v>-3</v>
      </c>
      <c r="E184" s="23" t="s">
        <v>41</v>
      </c>
      <c r="F184" s="23" t="s">
        <v>42</v>
      </c>
      <c r="G184" s="25">
        <v>1.3740000000000001</v>
      </c>
      <c r="H184" s="25">
        <v>7.1108412445837835E-2</v>
      </c>
      <c r="I184" s="25">
        <v>1.5631490074972446E-2</v>
      </c>
      <c r="J184" s="25">
        <v>0</v>
      </c>
      <c r="K184" s="25">
        <v>0</v>
      </c>
      <c r="L184" s="25">
        <v>0</v>
      </c>
      <c r="M184" s="25"/>
      <c r="N184" s="25">
        <v>0</v>
      </c>
      <c r="O184" s="25">
        <v>0</v>
      </c>
      <c r="P184" s="25">
        <v>0</v>
      </c>
      <c r="Q184" s="25">
        <v>0</v>
      </c>
      <c r="R184" s="25">
        <v>4.4932994962949304E-4</v>
      </c>
      <c r="S184" s="25"/>
      <c r="T184" s="25">
        <v>0.15801945890978725</v>
      </c>
      <c r="U184" s="25">
        <v>0</v>
      </c>
      <c r="V184" s="25">
        <v>0</v>
      </c>
      <c r="W184" s="25">
        <v>0</v>
      </c>
      <c r="X184" s="25">
        <f t="shared" si="14"/>
        <v>0.24520869138022702</v>
      </c>
      <c r="Y184" s="27">
        <f t="shared" si="15"/>
        <v>17.8463385284008</v>
      </c>
      <c r="Z184" s="25">
        <f t="shared" si="16"/>
        <v>0.15801945890978725</v>
      </c>
      <c r="AA184" s="49">
        <f t="shared" si="17"/>
        <v>2022</v>
      </c>
      <c r="AB184" s="29">
        <f t="shared" si="18"/>
        <v>11.500688421381895</v>
      </c>
      <c r="AC184" s="23">
        <f t="shared" si="19"/>
        <v>24</v>
      </c>
      <c r="AD184" s="23" t="str">
        <f t="shared" si="20"/>
        <v>Yes</v>
      </c>
    </row>
    <row r="185" spans="1:30" x14ac:dyDescent="0.3">
      <c r="A185" s="23">
        <v>184</v>
      </c>
      <c r="B185" s="21" t="s">
        <v>232</v>
      </c>
      <c r="C185" s="23" t="s">
        <v>507</v>
      </c>
      <c r="D185" s="23">
        <v>-2</v>
      </c>
      <c r="E185" s="23" t="s">
        <v>44</v>
      </c>
      <c r="F185" s="23" t="s">
        <v>42</v>
      </c>
      <c r="G185" s="25">
        <v>2.8109999999999999</v>
      </c>
      <c r="H185" s="25">
        <v>9.9843492850406945E-2</v>
      </c>
      <c r="I185" s="25">
        <v>9.2801023503007826E-2</v>
      </c>
      <c r="J185" s="25">
        <v>1.7262767771044746E-3</v>
      </c>
      <c r="K185" s="25">
        <v>0</v>
      </c>
      <c r="L185" s="25">
        <v>6.2689921897731251E-4</v>
      </c>
      <c r="M185" s="25"/>
      <c r="N185" s="25">
        <v>0</v>
      </c>
      <c r="O185" s="25">
        <v>0</v>
      </c>
      <c r="P185" s="25">
        <v>0</v>
      </c>
      <c r="Q185" s="25">
        <v>0</v>
      </c>
      <c r="R185" s="25">
        <v>0</v>
      </c>
      <c r="S185" s="25"/>
      <c r="T185" s="25">
        <v>1.6713065107642481E-2</v>
      </c>
      <c r="U185" s="25">
        <v>0</v>
      </c>
      <c r="V185" s="25">
        <v>0</v>
      </c>
      <c r="W185" s="25">
        <v>0</v>
      </c>
      <c r="X185" s="25">
        <f t="shared" si="14"/>
        <v>0.21171075745713905</v>
      </c>
      <c r="Y185" s="27">
        <f t="shared" si="15"/>
        <v>7.5315104040248686</v>
      </c>
      <c r="Z185" s="25">
        <f t="shared" si="16"/>
        <v>9.9843492850406945E-2</v>
      </c>
      <c r="AA185" s="49">
        <f t="shared" si="17"/>
        <v>2010</v>
      </c>
      <c r="AB185" s="29">
        <f t="shared" si="18"/>
        <v>3.5518851956743847</v>
      </c>
      <c r="AC185" s="23">
        <f t="shared" si="19"/>
        <v>75</v>
      </c>
      <c r="AD185" s="23" t="str">
        <f t="shared" si="20"/>
        <v>No</v>
      </c>
    </row>
    <row r="186" spans="1:30" x14ac:dyDescent="0.3">
      <c r="A186" s="23">
        <v>185</v>
      </c>
      <c r="B186" s="21" t="s">
        <v>233</v>
      </c>
      <c r="C186" s="23" t="s">
        <v>508</v>
      </c>
      <c r="D186" s="23">
        <v>-3</v>
      </c>
      <c r="E186" s="23" t="s">
        <v>41</v>
      </c>
      <c r="F186" s="23" t="s">
        <v>42</v>
      </c>
      <c r="G186" s="25">
        <v>1.5940000000000001</v>
      </c>
      <c r="H186" s="25">
        <v>1.2251423571498133E-2</v>
      </c>
      <c r="I186" s="25">
        <v>0</v>
      </c>
      <c r="J186" s="25">
        <v>1.2311277347698343E-4</v>
      </c>
      <c r="K186" s="25">
        <v>0</v>
      </c>
      <c r="L186" s="25">
        <v>0</v>
      </c>
      <c r="M186" s="25"/>
      <c r="N186" s="25">
        <v>0</v>
      </c>
      <c r="O186" s="25">
        <v>0</v>
      </c>
      <c r="P186" s="25">
        <v>0</v>
      </c>
      <c r="Q186" s="25">
        <v>0</v>
      </c>
      <c r="R186" s="25">
        <v>0</v>
      </c>
      <c r="S186" s="25"/>
      <c r="T186" s="25">
        <v>1.7081985464223494E-2</v>
      </c>
      <c r="U186" s="25">
        <v>1.8574280007136986E-4</v>
      </c>
      <c r="V186" s="25">
        <v>0</v>
      </c>
      <c r="W186" s="25">
        <v>0</v>
      </c>
      <c r="X186" s="25">
        <f t="shared" si="14"/>
        <v>2.964226460926998E-2</v>
      </c>
      <c r="Y186" s="27">
        <f t="shared" si="15"/>
        <v>1.8596150946844403</v>
      </c>
      <c r="Z186" s="25">
        <f t="shared" si="16"/>
        <v>1.7081985464223494E-2</v>
      </c>
      <c r="AA186" s="49">
        <f t="shared" si="17"/>
        <v>2022</v>
      </c>
      <c r="AB186" s="29">
        <f t="shared" si="18"/>
        <v>1.0716427518333433</v>
      </c>
      <c r="AC186" s="23">
        <f t="shared" si="19"/>
        <v>142</v>
      </c>
      <c r="AD186" s="23" t="str">
        <f t="shared" si="20"/>
        <v>No</v>
      </c>
    </row>
    <row r="187" spans="1:30" x14ac:dyDescent="0.3">
      <c r="A187" s="23">
        <v>186</v>
      </c>
      <c r="B187" s="21" t="s">
        <v>234</v>
      </c>
      <c r="C187" s="23" t="s">
        <v>509</v>
      </c>
      <c r="D187" s="23">
        <v>-2</v>
      </c>
      <c r="E187" s="23" t="s">
        <v>44</v>
      </c>
      <c r="F187" s="23" t="s">
        <v>42</v>
      </c>
      <c r="G187" s="25">
        <v>1.371</v>
      </c>
      <c r="H187" s="25">
        <v>0.39429206000020228</v>
      </c>
      <c r="I187" s="25">
        <v>0.28362594478542374</v>
      </c>
      <c r="J187" s="25">
        <v>0</v>
      </c>
      <c r="K187" s="25">
        <v>0</v>
      </c>
      <c r="L187" s="25">
        <v>0</v>
      </c>
      <c r="M187" s="25"/>
      <c r="N187" s="25">
        <v>0</v>
      </c>
      <c r="O187" s="25">
        <v>0</v>
      </c>
      <c r="P187" s="25">
        <v>0</v>
      </c>
      <c r="Q187" s="25">
        <v>0</v>
      </c>
      <c r="R187" s="25">
        <v>0</v>
      </c>
      <c r="S187" s="25"/>
      <c r="T187" s="25">
        <v>5.6138136565750361E-2</v>
      </c>
      <c r="U187" s="25">
        <v>0</v>
      </c>
      <c r="V187" s="25">
        <v>0</v>
      </c>
      <c r="W187" s="25">
        <v>0</v>
      </c>
      <c r="X187" s="25">
        <f t="shared" si="14"/>
        <v>0.73405614135137642</v>
      </c>
      <c r="Y187" s="27">
        <f t="shared" si="15"/>
        <v>53.541658741894707</v>
      </c>
      <c r="Z187" s="25">
        <f t="shared" si="16"/>
        <v>0.39429206000020228</v>
      </c>
      <c r="AA187" s="49">
        <f t="shared" si="17"/>
        <v>2010</v>
      </c>
      <c r="AB187" s="29">
        <f t="shared" si="18"/>
        <v>28.759450036484484</v>
      </c>
      <c r="AC187" s="23">
        <f t="shared" si="19"/>
        <v>3</v>
      </c>
      <c r="AD187" s="23" t="str">
        <f t="shared" si="20"/>
        <v>Yes</v>
      </c>
    </row>
    <row r="188" spans="1:30" x14ac:dyDescent="0.3">
      <c r="A188" s="23">
        <v>187</v>
      </c>
      <c r="B188" s="21" t="s">
        <v>235</v>
      </c>
      <c r="C188" s="23" t="s">
        <v>510</v>
      </c>
      <c r="D188" s="23">
        <v>-2</v>
      </c>
      <c r="E188" s="23" t="s">
        <v>44</v>
      </c>
      <c r="F188" s="23" t="s">
        <v>42</v>
      </c>
      <c r="G188" s="25">
        <v>1.0580000000000001</v>
      </c>
      <c r="H188" s="25">
        <v>0.83039905905786571</v>
      </c>
      <c r="I188" s="25">
        <v>0.18106980264781183</v>
      </c>
      <c r="J188" s="25">
        <v>2.0442429342423565E-4</v>
      </c>
      <c r="K188" s="25">
        <v>0</v>
      </c>
      <c r="L188" s="25">
        <v>0</v>
      </c>
      <c r="M188" s="25"/>
      <c r="N188" s="25">
        <v>0</v>
      </c>
      <c r="O188" s="25">
        <v>0</v>
      </c>
      <c r="P188" s="25">
        <v>0</v>
      </c>
      <c r="Q188" s="25">
        <v>0</v>
      </c>
      <c r="R188" s="25">
        <v>0</v>
      </c>
      <c r="S188" s="25"/>
      <c r="T188" s="25">
        <v>0.26839618194688952</v>
      </c>
      <c r="U188" s="25">
        <v>0</v>
      </c>
      <c r="V188" s="25">
        <v>0</v>
      </c>
      <c r="W188" s="25">
        <v>0</v>
      </c>
      <c r="X188" s="25">
        <f t="shared" si="14"/>
        <v>1.2800694679459914</v>
      </c>
      <c r="Y188" s="27">
        <f t="shared" si="15"/>
        <v>120.98955273591601</v>
      </c>
      <c r="Z188" s="25">
        <f t="shared" si="16"/>
        <v>0.83039905905786571</v>
      </c>
      <c r="AA188" s="49">
        <f t="shared" si="17"/>
        <v>2010</v>
      </c>
      <c r="AB188" s="29">
        <f t="shared" si="18"/>
        <v>78.487623729476908</v>
      </c>
      <c r="AC188" s="23">
        <f t="shared" si="19"/>
        <v>1</v>
      </c>
      <c r="AD188" s="23" t="str">
        <f t="shared" si="20"/>
        <v>Yes</v>
      </c>
    </row>
    <row r="189" spans="1:30" x14ac:dyDescent="0.3">
      <c r="A189" s="23">
        <v>188</v>
      </c>
      <c r="B189" s="21" t="s">
        <v>236</v>
      </c>
      <c r="C189" s="23" t="s">
        <v>511</v>
      </c>
      <c r="D189" s="23">
        <v>-3</v>
      </c>
      <c r="E189" s="23" t="s">
        <v>41</v>
      </c>
      <c r="F189" s="23" t="s">
        <v>42</v>
      </c>
      <c r="G189" s="25">
        <v>1.885</v>
      </c>
      <c r="H189" s="25">
        <v>0.18674455753005229</v>
      </c>
      <c r="I189" s="25">
        <v>0.11327624174021531</v>
      </c>
      <c r="J189" s="25">
        <v>2.2261057762615382E-4</v>
      </c>
      <c r="K189" s="25">
        <v>0</v>
      </c>
      <c r="L189" s="25">
        <v>0</v>
      </c>
      <c r="M189" s="25"/>
      <c r="N189" s="25">
        <v>0</v>
      </c>
      <c r="O189" s="25">
        <v>0</v>
      </c>
      <c r="P189" s="25">
        <v>0</v>
      </c>
      <c r="Q189" s="25">
        <v>0</v>
      </c>
      <c r="R189" s="25">
        <v>0</v>
      </c>
      <c r="S189" s="25"/>
      <c r="T189" s="25">
        <v>7.5436611537640197E-2</v>
      </c>
      <c r="U189" s="25">
        <v>0</v>
      </c>
      <c r="V189" s="25">
        <v>0</v>
      </c>
      <c r="W189" s="25">
        <v>0</v>
      </c>
      <c r="X189" s="25">
        <f t="shared" si="14"/>
        <v>0.37568002138553397</v>
      </c>
      <c r="Y189" s="27">
        <f t="shared" si="15"/>
        <v>19.929974609312147</v>
      </c>
      <c r="Z189" s="25">
        <f t="shared" si="16"/>
        <v>0.18674455753005229</v>
      </c>
      <c r="AA189" s="49">
        <f t="shared" si="17"/>
        <v>2010</v>
      </c>
      <c r="AB189" s="29">
        <f t="shared" si="18"/>
        <v>9.9068730785173624</v>
      </c>
      <c r="AC189" s="23">
        <f t="shared" si="19"/>
        <v>27</v>
      </c>
      <c r="AD189" s="23" t="str">
        <f t="shared" si="20"/>
        <v>No</v>
      </c>
    </row>
    <row r="190" spans="1:30" x14ac:dyDescent="0.3">
      <c r="A190" s="23">
        <v>189</v>
      </c>
      <c r="B190" s="21" t="s">
        <v>237</v>
      </c>
      <c r="C190" s="23" t="s">
        <v>512</v>
      </c>
      <c r="D190" s="23">
        <v>-2</v>
      </c>
      <c r="E190" s="23" t="s">
        <v>44</v>
      </c>
      <c r="F190" s="23" t="s">
        <v>42</v>
      </c>
      <c r="G190" s="25">
        <v>0.749</v>
      </c>
      <c r="H190" s="25">
        <v>0.11666676639810708</v>
      </c>
      <c r="I190" s="25">
        <v>0.14040764720894386</v>
      </c>
      <c r="J190" s="25">
        <v>5.1723355107055982E-4</v>
      </c>
      <c r="K190" s="25">
        <v>0</v>
      </c>
      <c r="L190" s="25">
        <v>0</v>
      </c>
      <c r="M190" s="25"/>
      <c r="N190" s="25">
        <v>0</v>
      </c>
      <c r="O190" s="25">
        <v>0</v>
      </c>
      <c r="P190" s="25">
        <v>0</v>
      </c>
      <c r="Q190" s="25">
        <v>0</v>
      </c>
      <c r="R190" s="25">
        <v>0</v>
      </c>
      <c r="S190" s="25"/>
      <c r="T190" s="25">
        <v>6.0299506915280972E-2</v>
      </c>
      <c r="U190" s="25">
        <v>0</v>
      </c>
      <c r="V190" s="25">
        <v>0</v>
      </c>
      <c r="W190" s="25">
        <v>0</v>
      </c>
      <c r="X190" s="25">
        <f t="shared" si="14"/>
        <v>0.31789115407340252</v>
      </c>
      <c r="Y190" s="27">
        <f t="shared" si="15"/>
        <v>42.442076645314089</v>
      </c>
      <c r="Z190" s="25">
        <f t="shared" si="16"/>
        <v>0.14040764720894386</v>
      </c>
      <c r="AA190" s="49">
        <f t="shared" si="17"/>
        <v>2011</v>
      </c>
      <c r="AB190" s="29">
        <f t="shared" si="18"/>
        <v>18.746014313610662</v>
      </c>
      <c r="AC190" s="23">
        <f t="shared" si="19"/>
        <v>13</v>
      </c>
      <c r="AD190" s="23" t="str">
        <f t="shared" si="20"/>
        <v>Yes</v>
      </c>
    </row>
    <row r="191" spans="1:30" x14ac:dyDescent="0.3">
      <c r="A191" s="23">
        <v>190</v>
      </c>
      <c r="B191" s="21" t="s">
        <v>238</v>
      </c>
      <c r="C191" s="23" t="s">
        <v>513</v>
      </c>
      <c r="D191" s="23">
        <v>-2</v>
      </c>
      <c r="E191" s="23" t="s">
        <v>44</v>
      </c>
      <c r="F191" s="23" t="s">
        <v>42</v>
      </c>
      <c r="G191" s="25">
        <v>1.74</v>
      </c>
      <c r="H191" s="25">
        <v>0</v>
      </c>
      <c r="I191" s="25">
        <v>1.0155549681711279E-2</v>
      </c>
      <c r="J191" s="25">
        <v>0</v>
      </c>
      <c r="K191" s="25">
        <v>0</v>
      </c>
      <c r="L191" s="25">
        <v>0</v>
      </c>
      <c r="M191" s="25"/>
      <c r="N191" s="25">
        <v>0</v>
      </c>
      <c r="O191" s="25">
        <v>0</v>
      </c>
      <c r="P191" s="25">
        <v>0</v>
      </c>
      <c r="Q191" s="25">
        <v>0</v>
      </c>
      <c r="R191" s="25">
        <v>0</v>
      </c>
      <c r="S191" s="25"/>
      <c r="T191" s="25">
        <v>0.17340864630334554</v>
      </c>
      <c r="U191" s="25">
        <v>1.2470186858403031E-4</v>
      </c>
      <c r="V191" s="25">
        <v>0</v>
      </c>
      <c r="W191" s="25">
        <v>0</v>
      </c>
      <c r="X191" s="25">
        <f t="shared" si="14"/>
        <v>0.18368889785364087</v>
      </c>
      <c r="Y191" s="27">
        <f t="shared" si="15"/>
        <v>10.556833209979361</v>
      </c>
      <c r="Z191" s="25">
        <f t="shared" si="16"/>
        <v>0.17340864630334554</v>
      </c>
      <c r="AA191" s="49">
        <f t="shared" si="17"/>
        <v>2022</v>
      </c>
      <c r="AB191" s="29">
        <f t="shared" si="18"/>
        <v>9.9660141553646859</v>
      </c>
      <c r="AC191" s="23">
        <f t="shared" si="19"/>
        <v>26</v>
      </c>
      <c r="AD191" s="23" t="str">
        <f t="shared" si="20"/>
        <v>No</v>
      </c>
    </row>
    <row r="192" spans="1:30" x14ac:dyDescent="0.3">
      <c r="A192" s="23">
        <v>191</v>
      </c>
      <c r="B192" s="21" t="s">
        <v>239</v>
      </c>
      <c r="C192" s="23" t="s">
        <v>514</v>
      </c>
      <c r="D192" s="23">
        <v>-2</v>
      </c>
      <c r="E192" s="23" t="s">
        <v>44</v>
      </c>
      <c r="F192" s="23" t="s">
        <v>42</v>
      </c>
      <c r="G192" s="25">
        <v>1.2709999999999999</v>
      </c>
      <c r="H192" s="25">
        <v>1.3594797479500353E-2</v>
      </c>
      <c r="I192" s="25">
        <v>3.9925516549665484E-3</v>
      </c>
      <c r="J192" s="25">
        <v>6.5234268746338788E-5</v>
      </c>
      <c r="K192" s="25">
        <v>0</v>
      </c>
      <c r="L192" s="25">
        <v>0</v>
      </c>
      <c r="M192" s="25"/>
      <c r="N192" s="25">
        <v>0</v>
      </c>
      <c r="O192" s="25">
        <v>0</v>
      </c>
      <c r="P192" s="25">
        <v>0</v>
      </c>
      <c r="Q192" s="25">
        <v>4.3856025335157903E-3</v>
      </c>
      <c r="R192" s="25">
        <v>0</v>
      </c>
      <c r="S192" s="25"/>
      <c r="T192" s="25">
        <v>9.0877194478337114E-2</v>
      </c>
      <c r="U192" s="25">
        <v>4.6714820020621117E-4</v>
      </c>
      <c r="V192" s="25">
        <v>0</v>
      </c>
      <c r="W192" s="25">
        <v>0</v>
      </c>
      <c r="X192" s="25">
        <f t="shared" si="14"/>
        <v>0.11338252861527236</v>
      </c>
      <c r="Y192" s="27">
        <f t="shared" si="15"/>
        <v>8.9207339587153704</v>
      </c>
      <c r="Z192" s="25">
        <f t="shared" si="16"/>
        <v>9.0877194478337114E-2</v>
      </c>
      <c r="AA192" s="49">
        <f t="shared" si="17"/>
        <v>2022</v>
      </c>
      <c r="AB192" s="29">
        <f t="shared" si="18"/>
        <v>7.1500546403097651</v>
      </c>
      <c r="AC192" s="23">
        <f t="shared" si="19"/>
        <v>40</v>
      </c>
      <c r="AD192" s="23" t="str">
        <f t="shared" si="20"/>
        <v>No</v>
      </c>
    </row>
    <row r="193" spans="1:30" x14ac:dyDescent="0.3">
      <c r="A193" s="23">
        <v>192</v>
      </c>
      <c r="B193" s="21" t="s">
        <v>240</v>
      </c>
      <c r="C193" s="23" t="s">
        <v>515</v>
      </c>
      <c r="D193" s="23">
        <v>-2</v>
      </c>
      <c r="E193" s="23" t="s">
        <v>44</v>
      </c>
      <c r="F193" s="23" t="s">
        <v>42</v>
      </c>
      <c r="G193" s="25">
        <v>2.0880000000000001</v>
      </c>
      <c r="H193" s="25">
        <v>9.0828122016863341E-2</v>
      </c>
      <c r="I193" s="25">
        <v>0.13427846535318289</v>
      </c>
      <c r="J193" s="25">
        <v>0</v>
      </c>
      <c r="K193" s="25">
        <v>0</v>
      </c>
      <c r="L193" s="25">
        <v>0</v>
      </c>
      <c r="M193" s="25"/>
      <c r="N193" s="25">
        <v>0</v>
      </c>
      <c r="O193" s="25">
        <v>0</v>
      </c>
      <c r="P193" s="25">
        <v>0</v>
      </c>
      <c r="Q193" s="25">
        <v>0</v>
      </c>
      <c r="R193" s="25">
        <v>2.484933447756339E-4</v>
      </c>
      <c r="S193" s="25"/>
      <c r="T193" s="25">
        <v>0.12706378276716318</v>
      </c>
      <c r="U193" s="25">
        <v>0</v>
      </c>
      <c r="V193" s="25">
        <v>0</v>
      </c>
      <c r="W193" s="25">
        <v>0</v>
      </c>
      <c r="X193" s="25">
        <f t="shared" si="14"/>
        <v>0.35241886348198503</v>
      </c>
      <c r="Y193" s="27">
        <f t="shared" si="15"/>
        <v>16.878298059482042</v>
      </c>
      <c r="Z193" s="25">
        <f t="shared" si="16"/>
        <v>0.13427846535318289</v>
      </c>
      <c r="AA193" s="49">
        <f t="shared" si="17"/>
        <v>2011</v>
      </c>
      <c r="AB193" s="29">
        <f t="shared" si="18"/>
        <v>6.4309609843478386</v>
      </c>
      <c r="AC193" s="23">
        <f t="shared" si="19"/>
        <v>45</v>
      </c>
      <c r="AD193" s="23" t="str">
        <f t="shared" si="20"/>
        <v>No</v>
      </c>
    </row>
    <row r="194" spans="1:30" x14ac:dyDescent="0.3">
      <c r="A194" s="23">
        <v>193</v>
      </c>
      <c r="B194" s="21" t="s">
        <v>241</v>
      </c>
      <c r="C194" s="23" t="s">
        <v>516</v>
      </c>
      <c r="D194" s="23">
        <v>-2</v>
      </c>
      <c r="E194" s="23" t="s">
        <v>44</v>
      </c>
      <c r="F194" s="23" t="s">
        <v>42</v>
      </c>
      <c r="G194" s="25">
        <v>3.3039999999999998</v>
      </c>
      <c r="H194" s="25">
        <v>2.9064707650213795E-2</v>
      </c>
      <c r="I194" s="25">
        <v>3.3289293279994744E-3</v>
      </c>
      <c r="J194" s="25">
        <v>0</v>
      </c>
      <c r="K194" s="25">
        <v>0</v>
      </c>
      <c r="L194" s="25">
        <v>0</v>
      </c>
      <c r="M194" s="25"/>
      <c r="N194" s="25">
        <v>0</v>
      </c>
      <c r="O194" s="25">
        <v>0</v>
      </c>
      <c r="P194" s="25">
        <v>0</v>
      </c>
      <c r="Q194" s="25">
        <v>0</v>
      </c>
      <c r="R194" s="25">
        <v>0</v>
      </c>
      <c r="S194" s="25"/>
      <c r="T194" s="25">
        <v>0.11560924438664051</v>
      </c>
      <c r="U194" s="25">
        <v>0</v>
      </c>
      <c r="V194" s="25">
        <v>1.2660269055096433E-4</v>
      </c>
      <c r="W194" s="25">
        <v>0</v>
      </c>
      <c r="X194" s="25">
        <f t="shared" ref="X194:X240" si="21">SUM(H194:W194)</f>
        <v>0.14812948405540474</v>
      </c>
      <c r="Y194" s="27">
        <f t="shared" ref="Y194:Y240" si="22">X194/G194*100</f>
        <v>4.4833378951393685</v>
      </c>
      <c r="Z194" s="25">
        <f t="shared" ref="Z194:Z240" si="23">MAX(H194:W194)</f>
        <v>0.11560924438664051</v>
      </c>
      <c r="AA194" s="49">
        <f t="shared" ref="AA194:AA240" si="24">2010+MATCH(Z194,H194:W194,0)-1</f>
        <v>2022</v>
      </c>
      <c r="AB194" s="29">
        <f t="shared" ref="AB194:AB240" si="25">Z194/G194*100</f>
        <v>3.4990691400314926</v>
      </c>
      <c r="AC194" s="23">
        <f t="shared" ref="AC194:AC240" si="26">IF(F194="Valid",RANK(AB194,$AB$2:$AB$240,0),"")</f>
        <v>77</v>
      </c>
      <c r="AD194" s="23" t="str">
        <f t="shared" ref="AD194:AD240" si="27">IF(AND(F194="Valid",AC194&lt;=24),"Yes","No")</f>
        <v>No</v>
      </c>
    </row>
    <row r="195" spans="1:30" x14ac:dyDescent="0.3">
      <c r="A195" s="23">
        <v>194</v>
      </c>
      <c r="B195" s="21" t="s">
        <v>242</v>
      </c>
      <c r="C195" s="23" t="s">
        <v>517</v>
      </c>
      <c r="D195" s="23">
        <v>-3</v>
      </c>
      <c r="E195" s="23" t="s">
        <v>41</v>
      </c>
      <c r="F195" s="23" t="s">
        <v>42</v>
      </c>
      <c r="G195" s="25">
        <v>2.4319999999999999</v>
      </c>
      <c r="H195" s="25">
        <v>8.1545454104503381E-2</v>
      </c>
      <c r="I195" s="25">
        <v>9.2021063365015001E-3</v>
      </c>
      <c r="J195" s="25">
        <v>5.9650726729200691E-4</v>
      </c>
      <c r="K195" s="25">
        <v>0</v>
      </c>
      <c r="L195" s="25">
        <v>0</v>
      </c>
      <c r="M195" s="25"/>
      <c r="N195" s="25">
        <v>0</v>
      </c>
      <c r="O195" s="25">
        <v>0</v>
      </c>
      <c r="P195" s="25">
        <v>0</v>
      </c>
      <c r="Q195" s="25">
        <v>2.0602893510127614E-4</v>
      </c>
      <c r="R195" s="25">
        <v>0</v>
      </c>
      <c r="S195" s="25"/>
      <c r="T195" s="25">
        <v>1.4595397995414735E-2</v>
      </c>
      <c r="U195" s="25">
        <v>0</v>
      </c>
      <c r="V195" s="25">
        <v>0</v>
      </c>
      <c r="W195" s="25">
        <v>0</v>
      </c>
      <c r="X195" s="25">
        <f t="shared" si="21"/>
        <v>0.10614549463881288</v>
      </c>
      <c r="Y195" s="27">
        <f t="shared" si="22"/>
        <v>4.364535141398556</v>
      </c>
      <c r="Z195" s="25">
        <f t="shared" si="23"/>
        <v>8.1545454104503381E-2</v>
      </c>
      <c r="AA195" s="49">
        <f t="shared" si="24"/>
        <v>2010</v>
      </c>
      <c r="AB195" s="29">
        <f t="shared" si="25"/>
        <v>3.3530203167970138</v>
      </c>
      <c r="AC195" s="23">
        <f t="shared" si="26"/>
        <v>80</v>
      </c>
      <c r="AD195" s="23" t="str">
        <f t="shared" si="27"/>
        <v>No</v>
      </c>
    </row>
    <row r="196" spans="1:30" x14ac:dyDescent="0.3">
      <c r="A196" s="23">
        <v>195</v>
      </c>
      <c r="B196" s="21" t="s">
        <v>243</v>
      </c>
      <c r="C196" s="23" t="s">
        <v>518</v>
      </c>
      <c r="D196" s="23">
        <v>-2</v>
      </c>
      <c r="E196" s="23" t="s">
        <v>44</v>
      </c>
      <c r="F196" s="23" t="s">
        <v>42</v>
      </c>
      <c r="G196" s="25">
        <v>1.7849999999999999</v>
      </c>
      <c r="H196" s="25">
        <v>0.25063860362115681</v>
      </c>
      <c r="I196" s="25">
        <v>2.1401016949978657E-4</v>
      </c>
      <c r="J196" s="25">
        <v>1.9496010560519063E-4</v>
      </c>
      <c r="K196" s="25">
        <v>0</v>
      </c>
      <c r="L196" s="25">
        <v>0</v>
      </c>
      <c r="M196" s="25"/>
      <c r="N196" s="25">
        <v>0</v>
      </c>
      <c r="O196" s="25">
        <v>0</v>
      </c>
      <c r="P196" s="25">
        <v>0</v>
      </c>
      <c r="Q196" s="25">
        <v>0</v>
      </c>
      <c r="R196" s="25">
        <v>0</v>
      </c>
      <c r="S196" s="25"/>
      <c r="T196" s="25">
        <v>0.24014361121115846</v>
      </c>
      <c r="U196" s="25">
        <v>0</v>
      </c>
      <c r="V196" s="25">
        <v>0</v>
      </c>
      <c r="W196" s="25">
        <v>0</v>
      </c>
      <c r="X196" s="25">
        <f t="shared" si="21"/>
        <v>0.49119118510742027</v>
      </c>
      <c r="Y196" s="27">
        <f t="shared" si="22"/>
        <v>27.517713451396098</v>
      </c>
      <c r="Z196" s="25">
        <f t="shared" si="23"/>
        <v>0.25063860362115681</v>
      </c>
      <c r="AA196" s="49">
        <f t="shared" si="24"/>
        <v>2010</v>
      </c>
      <c r="AB196" s="29">
        <f t="shared" si="25"/>
        <v>14.041378354126433</v>
      </c>
      <c r="AC196" s="23">
        <f t="shared" si="26"/>
        <v>18</v>
      </c>
      <c r="AD196" s="23" t="str">
        <f t="shared" si="27"/>
        <v>Yes</v>
      </c>
    </row>
    <row r="197" spans="1:30" x14ac:dyDescent="0.3">
      <c r="A197" s="23">
        <v>196</v>
      </c>
      <c r="B197" s="21" t="s">
        <v>244</v>
      </c>
      <c r="C197" s="23" t="s">
        <v>519</v>
      </c>
      <c r="D197" s="23">
        <v>-3</v>
      </c>
      <c r="E197" s="23" t="s">
        <v>41</v>
      </c>
      <c r="F197" s="23" t="s">
        <v>42</v>
      </c>
      <c r="G197" s="25">
        <v>6.8029999999999999</v>
      </c>
      <c r="H197" s="25">
        <v>0.121364680823507</v>
      </c>
      <c r="I197" s="25">
        <v>7.3597973430495123E-2</v>
      </c>
      <c r="J197" s="25">
        <v>1.4716124297621282E-3</v>
      </c>
      <c r="K197" s="25">
        <v>0</v>
      </c>
      <c r="L197" s="25">
        <v>0</v>
      </c>
      <c r="M197" s="25"/>
      <c r="N197" s="25">
        <v>2.8185175366583282E-4</v>
      </c>
      <c r="O197" s="25">
        <v>0</v>
      </c>
      <c r="P197" s="25">
        <v>1.0795697043533437E-4</v>
      </c>
      <c r="Q197" s="25">
        <v>0</v>
      </c>
      <c r="R197" s="25">
        <v>0</v>
      </c>
      <c r="S197" s="25"/>
      <c r="T197" s="25">
        <v>0.22047780228420227</v>
      </c>
      <c r="U197" s="25">
        <v>1.7582650006620678E-4</v>
      </c>
      <c r="V197" s="25">
        <v>1.857892500613816E-4</v>
      </c>
      <c r="W197" s="25">
        <v>4.1827830013935457E-4</v>
      </c>
      <c r="X197" s="25">
        <f t="shared" si="21"/>
        <v>0.41808177174233463</v>
      </c>
      <c r="Y197" s="27">
        <f t="shared" si="22"/>
        <v>6.1455500770591591</v>
      </c>
      <c r="Z197" s="25">
        <f t="shared" si="23"/>
        <v>0.22047780228420227</v>
      </c>
      <c r="AA197" s="49">
        <f t="shared" si="24"/>
        <v>2022</v>
      </c>
      <c r="AB197" s="29">
        <f t="shared" si="25"/>
        <v>3.2408908170542738</v>
      </c>
      <c r="AC197" s="23">
        <f t="shared" si="26"/>
        <v>82</v>
      </c>
      <c r="AD197" s="23" t="str">
        <f t="shared" si="27"/>
        <v>No</v>
      </c>
    </row>
    <row r="198" spans="1:30" x14ac:dyDescent="0.3">
      <c r="A198" s="23">
        <v>197</v>
      </c>
      <c r="B198" s="21" t="s">
        <v>245</v>
      </c>
      <c r="C198" s="23" t="s">
        <v>520</v>
      </c>
      <c r="D198" s="23">
        <v>-2</v>
      </c>
      <c r="E198" s="23" t="s">
        <v>44</v>
      </c>
      <c r="F198" s="23" t="s">
        <v>42</v>
      </c>
      <c r="G198" s="25">
        <v>3.1190000000000002</v>
      </c>
      <c r="H198" s="25">
        <v>0</v>
      </c>
      <c r="I198" s="25">
        <v>0</v>
      </c>
      <c r="J198" s="25">
        <v>0</v>
      </c>
      <c r="K198" s="25">
        <v>0</v>
      </c>
      <c r="L198" s="25">
        <v>0</v>
      </c>
      <c r="M198" s="25"/>
      <c r="N198" s="25">
        <v>0</v>
      </c>
      <c r="O198" s="25">
        <v>0</v>
      </c>
      <c r="P198" s="25">
        <v>0</v>
      </c>
      <c r="Q198" s="25">
        <v>0</v>
      </c>
      <c r="R198" s="25">
        <v>0</v>
      </c>
      <c r="S198" s="25"/>
      <c r="T198" s="25">
        <v>2.8932718098301228E-2</v>
      </c>
      <c r="U198" s="25">
        <v>0</v>
      </c>
      <c r="V198" s="25">
        <v>0</v>
      </c>
      <c r="W198" s="25">
        <v>0</v>
      </c>
      <c r="X198" s="25">
        <f t="shared" si="21"/>
        <v>2.8932718098301228E-2</v>
      </c>
      <c r="Y198" s="27">
        <f t="shared" si="22"/>
        <v>0.92762802495355012</v>
      </c>
      <c r="Z198" s="25">
        <f t="shared" si="23"/>
        <v>2.8932718098301228E-2</v>
      </c>
      <c r="AA198" s="49">
        <f t="shared" si="24"/>
        <v>2022</v>
      </c>
      <c r="AB198" s="29">
        <f t="shared" si="25"/>
        <v>0.92762802495355012</v>
      </c>
      <c r="AC198" s="23">
        <f t="shared" si="26"/>
        <v>148</v>
      </c>
      <c r="AD198" s="23" t="str">
        <f t="shared" si="27"/>
        <v>No</v>
      </c>
    </row>
    <row r="199" spans="1:30" x14ac:dyDescent="0.3">
      <c r="A199" s="23">
        <v>198</v>
      </c>
      <c r="B199" s="21" t="s">
        <v>246</v>
      </c>
      <c r="C199" s="23" t="s">
        <v>521</v>
      </c>
      <c r="D199" s="23">
        <v>-3</v>
      </c>
      <c r="E199" s="23" t="s">
        <v>41</v>
      </c>
      <c r="F199" s="23" t="s">
        <v>42</v>
      </c>
      <c r="G199" s="25">
        <v>3.27</v>
      </c>
      <c r="H199" s="25">
        <v>2.8955725116533795E-2</v>
      </c>
      <c r="I199" s="25">
        <v>1.5190427597700134E-2</v>
      </c>
      <c r="J199" s="25">
        <v>0</v>
      </c>
      <c r="K199" s="25">
        <v>0</v>
      </c>
      <c r="L199" s="25">
        <v>0</v>
      </c>
      <c r="M199" s="25"/>
      <c r="N199" s="25">
        <v>0</v>
      </c>
      <c r="O199" s="25">
        <v>0</v>
      </c>
      <c r="P199" s="25">
        <v>0</v>
      </c>
      <c r="Q199" s="25">
        <v>0</v>
      </c>
      <c r="R199" s="25">
        <v>0</v>
      </c>
      <c r="S199" s="25"/>
      <c r="T199" s="25">
        <v>1.6414666565855381E-2</v>
      </c>
      <c r="U199" s="25">
        <v>0</v>
      </c>
      <c r="V199" s="25">
        <v>0</v>
      </c>
      <c r="W199" s="25">
        <v>0</v>
      </c>
      <c r="X199" s="25">
        <f t="shared" si="21"/>
        <v>6.0560819280089315E-2</v>
      </c>
      <c r="Y199" s="27">
        <f t="shared" si="22"/>
        <v>1.8520128220210799</v>
      </c>
      <c r="Z199" s="25">
        <f t="shared" si="23"/>
        <v>2.8955725116533795E-2</v>
      </c>
      <c r="AA199" s="49">
        <f t="shared" si="24"/>
        <v>2010</v>
      </c>
      <c r="AB199" s="29">
        <f t="shared" si="25"/>
        <v>0.88549618093375515</v>
      </c>
      <c r="AC199" s="23">
        <f t="shared" si="26"/>
        <v>151</v>
      </c>
      <c r="AD199" s="23" t="str">
        <f t="shared" si="27"/>
        <v>No</v>
      </c>
    </row>
    <row r="200" spans="1:30" x14ac:dyDescent="0.3">
      <c r="A200" s="23">
        <v>199</v>
      </c>
      <c r="B200" s="21" t="s">
        <v>247</v>
      </c>
      <c r="C200" s="23" t="s">
        <v>522</v>
      </c>
      <c r="D200" s="23">
        <v>-2</v>
      </c>
      <c r="E200" s="23" t="s">
        <v>44</v>
      </c>
      <c r="F200" s="23" t="s">
        <v>42</v>
      </c>
      <c r="G200" s="25">
        <v>0.85399999999999998</v>
      </c>
      <c r="H200" s="25">
        <v>0</v>
      </c>
      <c r="I200" s="25">
        <v>0</v>
      </c>
      <c r="J200" s="25">
        <v>0</v>
      </c>
      <c r="K200" s="25">
        <v>0</v>
      </c>
      <c r="L200" s="25">
        <v>0</v>
      </c>
      <c r="M200" s="25"/>
      <c r="N200" s="25">
        <v>0</v>
      </c>
      <c r="O200" s="25">
        <v>0</v>
      </c>
      <c r="P200" s="25">
        <v>0</v>
      </c>
      <c r="Q200" s="25">
        <v>0</v>
      </c>
      <c r="R200" s="25">
        <v>0</v>
      </c>
      <c r="S200" s="25"/>
      <c r="T200" s="25">
        <v>7.5752870761021676E-2</v>
      </c>
      <c r="U200" s="25">
        <v>0</v>
      </c>
      <c r="V200" s="25">
        <v>0</v>
      </c>
      <c r="W200" s="25">
        <v>0</v>
      </c>
      <c r="X200" s="25">
        <f t="shared" si="21"/>
        <v>7.5752870761021676E-2</v>
      </c>
      <c r="Y200" s="27">
        <f t="shared" si="22"/>
        <v>8.8703595738901253</v>
      </c>
      <c r="Z200" s="25">
        <f t="shared" si="23"/>
        <v>7.5752870761021676E-2</v>
      </c>
      <c r="AA200" s="49">
        <f t="shared" si="24"/>
        <v>2022</v>
      </c>
      <c r="AB200" s="29">
        <f t="shared" si="25"/>
        <v>8.8703595738901253</v>
      </c>
      <c r="AC200" s="23">
        <f t="shared" si="26"/>
        <v>34</v>
      </c>
      <c r="AD200" s="23" t="str">
        <f t="shared" si="27"/>
        <v>No</v>
      </c>
    </row>
    <row r="201" spans="1:30" x14ac:dyDescent="0.3">
      <c r="A201" s="23">
        <v>200</v>
      </c>
      <c r="B201" s="21" t="s">
        <v>248</v>
      </c>
      <c r="C201" s="23" t="s">
        <v>523</v>
      </c>
      <c r="D201" s="23">
        <v>-2</v>
      </c>
      <c r="E201" s="23" t="s">
        <v>44</v>
      </c>
      <c r="F201" s="23" t="s">
        <v>42</v>
      </c>
      <c r="G201" s="25">
        <v>1.48</v>
      </c>
      <c r="H201" s="25">
        <v>2.2962858941315879E-2</v>
      </c>
      <c r="I201" s="25">
        <v>0</v>
      </c>
      <c r="J201" s="25">
        <v>4.1197928582597523E-4</v>
      </c>
      <c r="K201" s="25">
        <v>0</v>
      </c>
      <c r="L201" s="25">
        <v>0</v>
      </c>
      <c r="M201" s="25"/>
      <c r="N201" s="25">
        <v>0</v>
      </c>
      <c r="O201" s="25">
        <v>0</v>
      </c>
      <c r="P201" s="25">
        <v>0</v>
      </c>
      <c r="Q201" s="25">
        <v>0</v>
      </c>
      <c r="R201" s="25">
        <v>0</v>
      </c>
      <c r="S201" s="25"/>
      <c r="T201" s="25">
        <v>5.4082041752330744E-2</v>
      </c>
      <c r="U201" s="25">
        <v>0</v>
      </c>
      <c r="V201" s="25">
        <v>0</v>
      </c>
      <c r="W201" s="25">
        <v>0</v>
      </c>
      <c r="X201" s="25">
        <f t="shared" si="21"/>
        <v>7.7456879979472593E-2</v>
      </c>
      <c r="Y201" s="27">
        <f t="shared" si="22"/>
        <v>5.2335729715859864</v>
      </c>
      <c r="Z201" s="25">
        <f t="shared" si="23"/>
        <v>5.4082041752330744E-2</v>
      </c>
      <c r="AA201" s="49">
        <f t="shared" si="24"/>
        <v>2022</v>
      </c>
      <c r="AB201" s="29">
        <f t="shared" si="25"/>
        <v>3.654192010292618</v>
      </c>
      <c r="AC201" s="23">
        <f t="shared" si="26"/>
        <v>73</v>
      </c>
      <c r="AD201" s="23" t="str">
        <f t="shared" si="27"/>
        <v>No</v>
      </c>
    </row>
    <row r="202" spans="1:30" x14ac:dyDescent="0.3">
      <c r="A202" s="23">
        <v>201</v>
      </c>
      <c r="B202" s="21" t="s">
        <v>249</v>
      </c>
      <c r="C202" s="23" t="s">
        <v>524</v>
      </c>
      <c r="D202" s="23">
        <v>-1</v>
      </c>
      <c r="E202" s="23" t="s">
        <v>55</v>
      </c>
      <c r="F202" s="23" t="s">
        <v>42</v>
      </c>
      <c r="G202" s="25">
        <v>2.5489999999999999</v>
      </c>
      <c r="H202" s="25">
        <v>0.25716169243775683</v>
      </c>
      <c r="I202" s="25">
        <v>0.3788183778357529</v>
      </c>
      <c r="J202" s="25">
        <v>0</v>
      </c>
      <c r="K202" s="25">
        <v>0</v>
      </c>
      <c r="L202" s="25">
        <v>0</v>
      </c>
      <c r="M202" s="25"/>
      <c r="N202" s="25">
        <v>0</v>
      </c>
      <c r="O202" s="25">
        <v>0</v>
      </c>
      <c r="P202" s="25">
        <v>0</v>
      </c>
      <c r="Q202" s="25">
        <v>0</v>
      </c>
      <c r="R202" s="25">
        <v>0</v>
      </c>
      <c r="S202" s="25"/>
      <c r="T202" s="25">
        <v>0.39476298416637967</v>
      </c>
      <c r="U202" s="25">
        <v>4.4507220026772121E-4</v>
      </c>
      <c r="V202" s="25">
        <v>0</v>
      </c>
      <c r="W202" s="25">
        <v>0</v>
      </c>
      <c r="X202" s="25">
        <f t="shared" si="21"/>
        <v>1.031188126640157</v>
      </c>
      <c r="Y202" s="27">
        <f t="shared" si="22"/>
        <v>40.454614619072458</v>
      </c>
      <c r="Z202" s="25">
        <f t="shared" si="23"/>
        <v>0.39476298416637967</v>
      </c>
      <c r="AA202" s="49">
        <f t="shared" si="24"/>
        <v>2022</v>
      </c>
      <c r="AB202" s="29">
        <f t="shared" si="25"/>
        <v>15.486974663255381</v>
      </c>
      <c r="AC202" s="23">
        <f t="shared" si="26"/>
        <v>17</v>
      </c>
      <c r="AD202" s="23" t="str">
        <f t="shared" si="27"/>
        <v>Yes</v>
      </c>
    </row>
    <row r="203" spans="1:30" x14ac:dyDescent="0.3">
      <c r="A203" s="23">
        <v>202</v>
      </c>
      <c r="B203" s="21" t="s">
        <v>250</v>
      </c>
      <c r="C203" s="23" t="s">
        <v>525</v>
      </c>
      <c r="D203" s="23">
        <v>-2</v>
      </c>
      <c r="E203" s="23" t="s">
        <v>44</v>
      </c>
      <c r="F203" s="23" t="s">
        <v>42</v>
      </c>
      <c r="G203" s="25">
        <v>1.98</v>
      </c>
      <c r="H203" s="25">
        <v>3.1296991270503845E-2</v>
      </c>
      <c r="I203" s="25">
        <v>0.17843041503185406</v>
      </c>
      <c r="J203" s="25">
        <v>0</v>
      </c>
      <c r="K203" s="25">
        <v>0</v>
      </c>
      <c r="L203" s="25">
        <v>0</v>
      </c>
      <c r="M203" s="25"/>
      <c r="N203" s="25">
        <v>0</v>
      </c>
      <c r="O203" s="25">
        <v>0</v>
      </c>
      <c r="P203" s="25">
        <v>0</v>
      </c>
      <c r="Q203" s="25">
        <v>0</v>
      </c>
      <c r="R203" s="25">
        <v>0</v>
      </c>
      <c r="S203" s="25"/>
      <c r="T203" s="25">
        <v>0.18275203293768694</v>
      </c>
      <c r="U203" s="25">
        <v>1.2317331652296706E-4</v>
      </c>
      <c r="V203" s="25">
        <v>0</v>
      </c>
      <c r="W203" s="25">
        <v>0</v>
      </c>
      <c r="X203" s="25">
        <f t="shared" si="21"/>
        <v>0.39260261255656775</v>
      </c>
      <c r="Y203" s="27">
        <f t="shared" si="22"/>
        <v>19.828414775584228</v>
      </c>
      <c r="Z203" s="25">
        <f t="shared" si="23"/>
        <v>0.18275203293768694</v>
      </c>
      <c r="AA203" s="49">
        <f t="shared" si="24"/>
        <v>2022</v>
      </c>
      <c r="AB203" s="29">
        <f t="shared" si="25"/>
        <v>9.2299006534185324</v>
      </c>
      <c r="AC203" s="23">
        <f t="shared" si="26"/>
        <v>31</v>
      </c>
      <c r="AD203" s="23" t="str">
        <f t="shared" si="27"/>
        <v>No</v>
      </c>
    </row>
    <row r="204" spans="1:30" x14ac:dyDescent="0.3">
      <c r="A204" s="23">
        <v>203</v>
      </c>
      <c r="B204" s="21" t="s">
        <v>251</v>
      </c>
      <c r="C204" s="23" t="s">
        <v>526</v>
      </c>
      <c r="D204" s="23">
        <v>-2</v>
      </c>
      <c r="E204" s="23" t="s">
        <v>44</v>
      </c>
      <c r="F204" s="23" t="s">
        <v>42</v>
      </c>
      <c r="G204" s="25">
        <v>1.6240000000000001</v>
      </c>
      <c r="H204" s="25">
        <v>0</v>
      </c>
      <c r="I204" s="25">
        <v>0</v>
      </c>
      <c r="J204" s="25">
        <v>0</v>
      </c>
      <c r="K204" s="25">
        <v>0</v>
      </c>
      <c r="L204" s="25">
        <v>0</v>
      </c>
      <c r="M204" s="25"/>
      <c r="N204" s="25">
        <v>0</v>
      </c>
      <c r="O204" s="25">
        <v>0</v>
      </c>
      <c r="P204" s="25">
        <v>0</v>
      </c>
      <c r="Q204" s="25">
        <v>0</v>
      </c>
      <c r="R204" s="25">
        <v>0</v>
      </c>
      <c r="S204" s="25"/>
      <c r="T204" s="25">
        <v>0</v>
      </c>
      <c r="U204" s="25">
        <v>0</v>
      </c>
      <c r="V204" s="25">
        <v>0</v>
      </c>
      <c r="W204" s="25">
        <v>0</v>
      </c>
      <c r="X204" s="25">
        <f t="shared" si="21"/>
        <v>0</v>
      </c>
      <c r="Y204" s="27">
        <f t="shared" si="22"/>
        <v>0</v>
      </c>
      <c r="Z204" s="25">
        <f t="shared" si="23"/>
        <v>0</v>
      </c>
      <c r="AA204" s="49">
        <f t="shared" si="24"/>
        <v>2010</v>
      </c>
      <c r="AB204" s="29">
        <f t="shared" si="25"/>
        <v>0</v>
      </c>
      <c r="AC204" s="23">
        <f t="shared" si="26"/>
        <v>232</v>
      </c>
      <c r="AD204" s="23" t="str">
        <f t="shared" si="27"/>
        <v>No</v>
      </c>
    </row>
    <row r="205" spans="1:30" x14ac:dyDescent="0.3">
      <c r="A205" s="23">
        <v>204</v>
      </c>
      <c r="B205" s="21" t="s">
        <v>252</v>
      </c>
      <c r="C205" s="23" t="s">
        <v>527</v>
      </c>
      <c r="D205" s="23">
        <v>-3</v>
      </c>
      <c r="E205" s="23" t="s">
        <v>41</v>
      </c>
      <c r="F205" s="23" t="s">
        <v>42</v>
      </c>
      <c r="G205" s="25">
        <v>1.6319999999999999</v>
      </c>
      <c r="H205" s="25">
        <v>6.8191479952293868E-2</v>
      </c>
      <c r="I205" s="25">
        <v>3.8646703159895971E-4</v>
      </c>
      <c r="J205" s="25">
        <v>0</v>
      </c>
      <c r="K205" s="25">
        <v>0</v>
      </c>
      <c r="L205" s="25">
        <v>0</v>
      </c>
      <c r="M205" s="25"/>
      <c r="N205" s="25">
        <v>0</v>
      </c>
      <c r="O205" s="25">
        <v>0</v>
      </c>
      <c r="P205" s="25">
        <v>0</v>
      </c>
      <c r="Q205" s="25">
        <v>0</v>
      </c>
      <c r="R205" s="25">
        <v>0</v>
      </c>
      <c r="S205" s="25"/>
      <c r="T205" s="25">
        <v>4.5277505244128019E-2</v>
      </c>
      <c r="U205" s="25">
        <v>1.3930170006746267E-4</v>
      </c>
      <c r="V205" s="25">
        <v>0</v>
      </c>
      <c r="W205" s="25">
        <v>0</v>
      </c>
      <c r="X205" s="25">
        <f t="shared" si="21"/>
        <v>0.1139947539280883</v>
      </c>
      <c r="Y205" s="27">
        <f t="shared" si="22"/>
        <v>6.9849726671622747</v>
      </c>
      <c r="Z205" s="25">
        <f t="shared" si="23"/>
        <v>6.8191479952293868E-2</v>
      </c>
      <c r="AA205" s="49">
        <f t="shared" si="24"/>
        <v>2010</v>
      </c>
      <c r="AB205" s="29">
        <f t="shared" si="25"/>
        <v>4.1783995068807522</v>
      </c>
      <c r="AC205" s="23">
        <f t="shared" si="26"/>
        <v>62</v>
      </c>
      <c r="AD205" s="23" t="str">
        <f t="shared" si="27"/>
        <v>No</v>
      </c>
    </row>
    <row r="206" spans="1:30" x14ac:dyDescent="0.3">
      <c r="A206" s="23">
        <v>205</v>
      </c>
      <c r="B206" s="21" t="s">
        <v>253</v>
      </c>
      <c r="C206" s="23" t="s">
        <v>528</v>
      </c>
      <c r="D206" s="23">
        <v>-3</v>
      </c>
      <c r="E206" s="23" t="s">
        <v>41</v>
      </c>
      <c r="F206" s="23" t="s">
        <v>42</v>
      </c>
      <c r="G206" s="25">
        <v>4.1950000000000003</v>
      </c>
      <c r="H206" s="25">
        <v>4.3609297911802718E-3</v>
      </c>
      <c r="I206" s="25">
        <v>1.0905417552578874E-2</v>
      </c>
      <c r="J206" s="25">
        <v>1.1609975311809686E-3</v>
      </c>
      <c r="K206" s="25">
        <v>0</v>
      </c>
      <c r="L206" s="25">
        <v>0</v>
      </c>
      <c r="M206" s="25"/>
      <c r="N206" s="25">
        <v>0</v>
      </c>
      <c r="O206" s="25">
        <v>0</v>
      </c>
      <c r="P206" s="25">
        <v>3.1406981683324556E-4</v>
      </c>
      <c r="Q206" s="25">
        <v>0</v>
      </c>
      <c r="R206" s="25">
        <v>0</v>
      </c>
      <c r="S206" s="25"/>
      <c r="T206" s="25">
        <v>3.7489828762532679E-2</v>
      </c>
      <c r="U206" s="25">
        <v>0</v>
      </c>
      <c r="V206" s="25">
        <v>0</v>
      </c>
      <c r="W206" s="25">
        <v>0</v>
      </c>
      <c r="X206" s="25">
        <f t="shared" si="21"/>
        <v>5.4231243454306036E-2</v>
      </c>
      <c r="Y206" s="27">
        <f t="shared" si="22"/>
        <v>1.2927590811515144</v>
      </c>
      <c r="Z206" s="25">
        <f t="shared" si="23"/>
        <v>3.7489828762532679E-2</v>
      </c>
      <c r="AA206" s="49">
        <f t="shared" si="24"/>
        <v>2022</v>
      </c>
      <c r="AB206" s="29">
        <f t="shared" si="25"/>
        <v>0.89367887395787071</v>
      </c>
      <c r="AC206" s="23">
        <f t="shared" si="26"/>
        <v>150</v>
      </c>
      <c r="AD206" s="23" t="str">
        <f t="shared" si="27"/>
        <v>No</v>
      </c>
    </row>
    <row r="207" spans="1:30" x14ac:dyDescent="0.3">
      <c r="A207" s="23">
        <v>206</v>
      </c>
      <c r="B207" s="21" t="s">
        <v>254</v>
      </c>
      <c r="C207" s="23" t="s">
        <v>529</v>
      </c>
      <c r="D207" s="23">
        <v>-2</v>
      </c>
      <c r="E207" s="23" t="s">
        <v>44</v>
      </c>
      <c r="F207" s="23" t="s">
        <v>42</v>
      </c>
      <c r="G207" s="25">
        <v>1.25</v>
      </c>
      <c r="H207" s="25">
        <v>2.8623534871577573E-2</v>
      </c>
      <c r="I207" s="25">
        <v>0.14969148621860584</v>
      </c>
      <c r="J207" s="25">
        <v>0</v>
      </c>
      <c r="K207" s="25">
        <v>0</v>
      </c>
      <c r="L207" s="25">
        <v>0</v>
      </c>
      <c r="M207" s="25"/>
      <c r="N207" s="25">
        <v>0</v>
      </c>
      <c r="O207" s="25">
        <v>0</v>
      </c>
      <c r="P207" s="25">
        <v>0</v>
      </c>
      <c r="Q207" s="25">
        <v>0</v>
      </c>
      <c r="R207" s="25">
        <v>0</v>
      </c>
      <c r="S207" s="25"/>
      <c r="T207" s="25">
        <v>0.16951174193133703</v>
      </c>
      <c r="U207" s="25">
        <v>0</v>
      </c>
      <c r="V207" s="25">
        <v>0</v>
      </c>
      <c r="W207" s="25">
        <v>0</v>
      </c>
      <c r="X207" s="25">
        <f t="shared" si="21"/>
        <v>0.34782676302152044</v>
      </c>
      <c r="Y207" s="27">
        <f t="shared" si="22"/>
        <v>27.826141041721637</v>
      </c>
      <c r="Z207" s="25">
        <f t="shared" si="23"/>
        <v>0.16951174193133703</v>
      </c>
      <c r="AA207" s="49">
        <f t="shared" si="24"/>
        <v>2022</v>
      </c>
      <c r="AB207" s="29">
        <f t="shared" si="25"/>
        <v>13.560939354506962</v>
      </c>
      <c r="AC207" s="23">
        <f t="shared" si="26"/>
        <v>19</v>
      </c>
      <c r="AD207" s="23" t="str">
        <f t="shared" si="27"/>
        <v>Yes</v>
      </c>
    </row>
    <row r="208" spans="1:30" x14ac:dyDescent="0.3">
      <c r="A208" s="23">
        <v>207</v>
      </c>
      <c r="B208" s="21" t="s">
        <v>255</v>
      </c>
      <c r="C208" s="23" t="s">
        <v>530</v>
      </c>
      <c r="D208" s="23">
        <v>-2</v>
      </c>
      <c r="E208" s="23" t="s">
        <v>44</v>
      </c>
      <c r="F208" s="23" t="s">
        <v>42</v>
      </c>
      <c r="G208" s="25">
        <v>1.0329999999999999</v>
      </c>
      <c r="H208" s="25">
        <v>1.3156545902001788E-2</v>
      </c>
      <c r="I208" s="25">
        <v>1.0309524519992992E-3</v>
      </c>
      <c r="J208" s="25">
        <v>0</v>
      </c>
      <c r="K208" s="25">
        <v>0</v>
      </c>
      <c r="L208" s="25">
        <v>0</v>
      </c>
      <c r="M208" s="25"/>
      <c r="N208" s="25">
        <v>0</v>
      </c>
      <c r="O208" s="25">
        <v>0</v>
      </c>
      <c r="P208" s="25">
        <v>0</v>
      </c>
      <c r="Q208" s="25">
        <v>0</v>
      </c>
      <c r="R208" s="25">
        <v>0</v>
      </c>
      <c r="S208" s="25"/>
      <c r="T208" s="25">
        <v>1.2738957168175402E-3</v>
      </c>
      <c r="U208" s="25">
        <v>0</v>
      </c>
      <c r="V208" s="25">
        <v>0</v>
      </c>
      <c r="W208" s="25">
        <v>0</v>
      </c>
      <c r="X208" s="25">
        <f t="shared" si="21"/>
        <v>1.5461394070818627E-2</v>
      </c>
      <c r="Y208" s="27">
        <f t="shared" si="22"/>
        <v>1.4967467638740202</v>
      </c>
      <c r="Z208" s="25">
        <f t="shared" si="23"/>
        <v>1.3156545902001788E-2</v>
      </c>
      <c r="AA208" s="49">
        <f t="shared" si="24"/>
        <v>2010</v>
      </c>
      <c r="AB208" s="29">
        <f t="shared" si="25"/>
        <v>1.2736249663118866</v>
      </c>
      <c r="AC208" s="23">
        <f t="shared" si="26"/>
        <v>135</v>
      </c>
      <c r="AD208" s="23" t="str">
        <f t="shared" si="27"/>
        <v>No</v>
      </c>
    </row>
    <row r="209" spans="1:30" x14ac:dyDescent="0.3">
      <c r="A209" s="23">
        <v>208</v>
      </c>
      <c r="B209" s="21" t="s">
        <v>256</v>
      </c>
      <c r="C209" s="23" t="s">
        <v>531</v>
      </c>
      <c r="D209" s="23">
        <v>-2</v>
      </c>
      <c r="E209" s="23" t="s">
        <v>44</v>
      </c>
      <c r="F209" s="23" t="s">
        <v>42</v>
      </c>
      <c r="G209" s="25">
        <v>1.5629999999999999</v>
      </c>
      <c r="H209" s="25">
        <v>0.27209001331609756</v>
      </c>
      <c r="I209" s="25">
        <v>0.35130114384350919</v>
      </c>
      <c r="J209" s="25">
        <v>0</v>
      </c>
      <c r="K209" s="25">
        <v>0</v>
      </c>
      <c r="L209" s="25">
        <v>0</v>
      </c>
      <c r="M209" s="25"/>
      <c r="N209" s="25">
        <v>6.6274017835856651E-4</v>
      </c>
      <c r="O209" s="25">
        <v>0</v>
      </c>
      <c r="P209" s="25">
        <v>0</v>
      </c>
      <c r="Q209" s="25">
        <v>0</v>
      </c>
      <c r="R209" s="25">
        <v>1.3014404614582018E-3</v>
      </c>
      <c r="S209" s="25"/>
      <c r="T209" s="25">
        <v>4.0014833479623847E-2</v>
      </c>
      <c r="U209" s="25">
        <v>0</v>
      </c>
      <c r="V209" s="25">
        <v>0</v>
      </c>
      <c r="W209" s="25">
        <v>0</v>
      </c>
      <c r="X209" s="25">
        <f t="shared" si="21"/>
        <v>0.6653701712790473</v>
      </c>
      <c r="Y209" s="27">
        <f t="shared" si="22"/>
        <v>42.570068539926254</v>
      </c>
      <c r="Z209" s="25">
        <f t="shared" si="23"/>
        <v>0.35130114384350919</v>
      </c>
      <c r="AA209" s="49">
        <f t="shared" si="24"/>
        <v>2011</v>
      </c>
      <c r="AB209" s="29">
        <f t="shared" si="25"/>
        <v>22.476080860109356</v>
      </c>
      <c r="AC209" s="23">
        <f t="shared" si="26"/>
        <v>11</v>
      </c>
      <c r="AD209" s="23" t="str">
        <f t="shared" si="27"/>
        <v>Yes</v>
      </c>
    </row>
    <row r="210" spans="1:30" x14ac:dyDescent="0.3">
      <c r="A210" s="23">
        <v>209</v>
      </c>
      <c r="B210" s="21" t="s">
        <v>257</v>
      </c>
      <c r="C210" s="23" t="s">
        <v>532</v>
      </c>
      <c r="D210" s="23">
        <v>-2</v>
      </c>
      <c r="E210" s="23" t="s">
        <v>44</v>
      </c>
      <c r="F210" s="23" t="s">
        <v>42</v>
      </c>
      <c r="G210" s="25">
        <v>1.8340000000000001</v>
      </c>
      <c r="H210" s="25">
        <v>0.25558106601374136</v>
      </c>
      <c r="I210" s="25">
        <v>0.34288946136486714</v>
      </c>
      <c r="J210" s="25">
        <v>0</v>
      </c>
      <c r="K210" s="25">
        <v>0</v>
      </c>
      <c r="L210" s="25">
        <v>0</v>
      </c>
      <c r="M210" s="25"/>
      <c r="N210" s="25">
        <v>0</v>
      </c>
      <c r="O210" s="25">
        <v>0</v>
      </c>
      <c r="P210" s="25">
        <v>0</v>
      </c>
      <c r="Q210" s="25">
        <v>0</v>
      </c>
      <c r="R210" s="25">
        <v>0</v>
      </c>
      <c r="S210" s="25"/>
      <c r="T210" s="25">
        <v>0.40637800498553805</v>
      </c>
      <c r="U210" s="25">
        <v>1.3334839207190089E-4</v>
      </c>
      <c r="V210" s="25">
        <v>0</v>
      </c>
      <c r="W210" s="25">
        <v>0</v>
      </c>
      <c r="X210" s="25">
        <f t="shared" si="21"/>
        <v>1.0049818807562183</v>
      </c>
      <c r="Y210" s="27">
        <f t="shared" si="22"/>
        <v>54.797267216805793</v>
      </c>
      <c r="Z210" s="25">
        <f t="shared" si="23"/>
        <v>0.40637800498553805</v>
      </c>
      <c r="AA210" s="49">
        <f t="shared" si="24"/>
        <v>2022</v>
      </c>
      <c r="AB210" s="29">
        <f t="shared" si="25"/>
        <v>22.15801553901516</v>
      </c>
      <c r="AC210" s="23">
        <f t="shared" si="26"/>
        <v>12</v>
      </c>
      <c r="AD210" s="23" t="str">
        <f t="shared" si="27"/>
        <v>Yes</v>
      </c>
    </row>
    <row r="211" spans="1:30" x14ac:dyDescent="0.3">
      <c r="A211" s="23">
        <v>210</v>
      </c>
      <c r="B211" s="21" t="s">
        <v>258</v>
      </c>
      <c r="C211" s="23" t="s">
        <v>533</v>
      </c>
      <c r="D211" s="23">
        <v>-2</v>
      </c>
      <c r="E211" s="23" t="s">
        <v>44</v>
      </c>
      <c r="F211" s="23" t="s">
        <v>42</v>
      </c>
      <c r="G211" s="25">
        <v>3.0950000000000002</v>
      </c>
      <c r="H211" s="25">
        <v>8.0582070998035677E-3</v>
      </c>
      <c r="I211" s="25">
        <v>4.2516355820009484E-3</v>
      </c>
      <c r="J211" s="25">
        <v>0</v>
      </c>
      <c r="K211" s="25">
        <v>0</v>
      </c>
      <c r="L211" s="25">
        <v>0</v>
      </c>
      <c r="M211" s="25"/>
      <c r="N211" s="25">
        <v>0</v>
      </c>
      <c r="O211" s="25">
        <v>0</v>
      </c>
      <c r="P211" s="25">
        <v>0</v>
      </c>
      <c r="Q211" s="25">
        <v>0</v>
      </c>
      <c r="R211" s="25">
        <v>0</v>
      </c>
      <c r="S211" s="25"/>
      <c r="T211" s="25">
        <v>4.5787395420824495E-2</v>
      </c>
      <c r="U211" s="25">
        <v>2.3091757907508871E-4</v>
      </c>
      <c r="V211" s="25">
        <v>0</v>
      </c>
      <c r="W211" s="25">
        <v>0</v>
      </c>
      <c r="X211" s="25">
        <f t="shared" si="21"/>
        <v>5.8328155681704102E-2</v>
      </c>
      <c r="Y211" s="27">
        <f t="shared" si="22"/>
        <v>1.884593075337774</v>
      </c>
      <c r="Z211" s="25">
        <f t="shared" si="23"/>
        <v>4.5787395420824495E-2</v>
      </c>
      <c r="AA211" s="49">
        <f t="shared" si="24"/>
        <v>2022</v>
      </c>
      <c r="AB211" s="29">
        <f t="shared" si="25"/>
        <v>1.4793988827406945</v>
      </c>
      <c r="AC211" s="23">
        <f t="shared" si="26"/>
        <v>128</v>
      </c>
      <c r="AD211" s="23" t="str">
        <f t="shared" si="27"/>
        <v>No</v>
      </c>
    </row>
    <row r="212" spans="1:30" x14ac:dyDescent="0.3">
      <c r="A212" s="23">
        <v>211</v>
      </c>
      <c r="B212" s="21" t="s">
        <v>259</v>
      </c>
      <c r="C212" s="23" t="s">
        <v>534</v>
      </c>
      <c r="D212" s="23">
        <v>-2</v>
      </c>
      <c r="E212" s="23" t="s">
        <v>44</v>
      </c>
      <c r="F212" s="23" t="s">
        <v>42</v>
      </c>
      <c r="G212" s="25">
        <v>1.657</v>
      </c>
      <c r="H212" s="25">
        <v>8.5634728311111394E-2</v>
      </c>
      <c r="I212" s="25">
        <v>4.6467938408377582E-2</v>
      </c>
      <c r="J212" s="25">
        <v>7.7598783096030817E-4</v>
      </c>
      <c r="K212" s="25">
        <v>0</v>
      </c>
      <c r="L212" s="25">
        <v>0</v>
      </c>
      <c r="M212" s="25"/>
      <c r="N212" s="25">
        <v>0</v>
      </c>
      <c r="O212" s="25">
        <v>0</v>
      </c>
      <c r="P212" s="25">
        <v>0</v>
      </c>
      <c r="Q212" s="25">
        <v>0</v>
      </c>
      <c r="R212" s="25">
        <v>1.8220982372376603E-4</v>
      </c>
      <c r="S212" s="25"/>
      <c r="T212" s="25">
        <v>2.7947657435096508E-2</v>
      </c>
      <c r="U212" s="25">
        <v>1.9943777408813475E-3</v>
      </c>
      <c r="V212" s="25">
        <v>3.5822717513842511E-4</v>
      </c>
      <c r="W212" s="25">
        <v>0</v>
      </c>
      <c r="X212" s="25">
        <f t="shared" si="21"/>
        <v>0.16336112672528932</v>
      </c>
      <c r="Y212" s="27">
        <f t="shared" si="22"/>
        <v>9.858848927295675</v>
      </c>
      <c r="Z212" s="25">
        <f t="shared" si="23"/>
        <v>8.5634728311111394E-2</v>
      </c>
      <c r="AA212" s="49">
        <f t="shared" si="24"/>
        <v>2010</v>
      </c>
      <c r="AB212" s="29">
        <f t="shared" si="25"/>
        <v>5.1680584376047918</v>
      </c>
      <c r="AC212" s="23">
        <f t="shared" si="26"/>
        <v>55</v>
      </c>
      <c r="AD212" s="23" t="str">
        <f t="shared" si="27"/>
        <v>No</v>
      </c>
    </row>
    <row r="213" spans="1:30" x14ac:dyDescent="0.3">
      <c r="A213" s="23">
        <v>212</v>
      </c>
      <c r="B213" s="21" t="s">
        <v>260</v>
      </c>
      <c r="C213" s="23" t="s">
        <v>535</v>
      </c>
      <c r="D213" s="23">
        <v>-3</v>
      </c>
      <c r="E213" s="23" t="s">
        <v>41</v>
      </c>
      <c r="F213" s="23" t="s">
        <v>42</v>
      </c>
      <c r="G213" s="25">
        <v>4.1289999999999996</v>
      </c>
      <c r="H213" s="25">
        <v>9.5856907881502668E-2</v>
      </c>
      <c r="I213" s="25">
        <v>9.328390803848248E-2</v>
      </c>
      <c r="J213" s="25">
        <v>0</v>
      </c>
      <c r="K213" s="25">
        <v>0</v>
      </c>
      <c r="L213" s="25">
        <v>0</v>
      </c>
      <c r="M213" s="25"/>
      <c r="N213" s="25">
        <v>6.142168793334858E-4</v>
      </c>
      <c r="O213" s="25">
        <v>0</v>
      </c>
      <c r="P213" s="25">
        <v>0</v>
      </c>
      <c r="Q213" s="25">
        <v>0</v>
      </c>
      <c r="R213" s="25">
        <v>0</v>
      </c>
      <c r="S213" s="25"/>
      <c r="T213" s="25">
        <v>6.6987590817810562E-3</v>
      </c>
      <c r="U213" s="25">
        <v>0</v>
      </c>
      <c r="V213" s="25">
        <v>0</v>
      </c>
      <c r="W213" s="25">
        <v>0</v>
      </c>
      <c r="X213" s="25">
        <f t="shared" si="21"/>
        <v>0.19645379188109971</v>
      </c>
      <c r="Y213" s="27">
        <f t="shared" si="22"/>
        <v>4.7579024432332213</v>
      </c>
      <c r="Z213" s="25">
        <f t="shared" si="23"/>
        <v>9.5856907881502668E-2</v>
      </c>
      <c r="AA213" s="49">
        <f t="shared" si="24"/>
        <v>2010</v>
      </c>
      <c r="AB213" s="29">
        <f t="shared" si="25"/>
        <v>2.3215526248850251</v>
      </c>
      <c r="AC213" s="23">
        <f t="shared" si="26"/>
        <v>102</v>
      </c>
      <c r="AD213" s="23" t="str">
        <f t="shared" si="27"/>
        <v>No</v>
      </c>
    </row>
    <row r="214" spans="1:30" x14ac:dyDescent="0.3">
      <c r="A214" s="23">
        <v>213</v>
      </c>
      <c r="B214" s="21" t="s">
        <v>261</v>
      </c>
      <c r="C214" s="23" t="s">
        <v>536</v>
      </c>
      <c r="D214" s="23">
        <v>-1</v>
      </c>
      <c r="E214" s="23" t="s">
        <v>55</v>
      </c>
      <c r="F214" s="23" t="s">
        <v>42</v>
      </c>
      <c r="G214" s="25">
        <v>1.232</v>
      </c>
      <c r="H214" s="25">
        <v>2.7370117440223281E-2</v>
      </c>
      <c r="I214" s="25">
        <v>4.5518282651151624E-3</v>
      </c>
      <c r="J214" s="25">
        <v>0</v>
      </c>
      <c r="K214" s="25">
        <v>0</v>
      </c>
      <c r="L214" s="25">
        <v>0</v>
      </c>
      <c r="M214" s="25"/>
      <c r="N214" s="25">
        <v>0</v>
      </c>
      <c r="O214" s="25">
        <v>0</v>
      </c>
      <c r="P214" s="25">
        <v>0</v>
      </c>
      <c r="Q214" s="25">
        <v>0</v>
      </c>
      <c r="R214" s="25">
        <v>0</v>
      </c>
      <c r="S214" s="25"/>
      <c r="T214" s="25">
        <v>2.1433236853709403E-2</v>
      </c>
      <c r="U214" s="25">
        <v>3.1685522517934441E-4</v>
      </c>
      <c r="V214" s="25">
        <v>8.9794718018616556E-5</v>
      </c>
      <c r="W214" s="25">
        <v>0</v>
      </c>
      <c r="X214" s="25">
        <f t="shared" si="21"/>
        <v>5.3761832502245803E-2</v>
      </c>
      <c r="Y214" s="27">
        <f t="shared" si="22"/>
        <v>4.3637851057017691</v>
      </c>
      <c r="Z214" s="25">
        <f t="shared" si="23"/>
        <v>2.7370117440223281E-2</v>
      </c>
      <c r="AA214" s="49">
        <f t="shared" si="24"/>
        <v>2010</v>
      </c>
      <c r="AB214" s="29">
        <f t="shared" si="25"/>
        <v>2.2216004415765647</v>
      </c>
      <c r="AC214" s="23">
        <f t="shared" si="26"/>
        <v>107</v>
      </c>
      <c r="AD214" s="23" t="str">
        <f t="shared" si="27"/>
        <v>No</v>
      </c>
    </row>
    <row r="215" spans="1:30" x14ac:dyDescent="0.3">
      <c r="A215" s="23">
        <v>214</v>
      </c>
      <c r="B215" s="21" t="s">
        <v>262</v>
      </c>
      <c r="C215" s="23" t="s">
        <v>537</v>
      </c>
      <c r="D215" s="23">
        <v>-2</v>
      </c>
      <c r="E215" s="23" t="s">
        <v>44</v>
      </c>
      <c r="F215" s="23" t="s">
        <v>42</v>
      </c>
      <c r="G215" s="25">
        <v>3.0489999999999999</v>
      </c>
      <c r="H215" s="25">
        <v>4.1101984153505564E-2</v>
      </c>
      <c r="I215" s="25">
        <v>1.1299167594998641E-2</v>
      </c>
      <c r="J215" s="25">
        <v>2.5217807367453136E-4</v>
      </c>
      <c r="K215" s="25">
        <v>0</v>
      </c>
      <c r="L215" s="25">
        <v>0</v>
      </c>
      <c r="M215" s="25"/>
      <c r="N215" s="25">
        <v>0</v>
      </c>
      <c r="O215" s="25">
        <v>0</v>
      </c>
      <c r="P215" s="25">
        <v>0</v>
      </c>
      <c r="Q215" s="25">
        <v>0</v>
      </c>
      <c r="R215" s="25">
        <v>0</v>
      </c>
      <c r="S215" s="25"/>
      <c r="T215" s="25">
        <v>3.0538593398813471E-2</v>
      </c>
      <c r="U215" s="25">
        <v>0</v>
      </c>
      <c r="V215" s="25">
        <v>0</v>
      </c>
      <c r="W215" s="25">
        <v>0</v>
      </c>
      <c r="X215" s="25">
        <f t="shared" si="21"/>
        <v>8.3191923220992198E-2</v>
      </c>
      <c r="Y215" s="27">
        <f t="shared" si="22"/>
        <v>2.7284986297472025</v>
      </c>
      <c r="Z215" s="25">
        <f t="shared" si="23"/>
        <v>4.1101984153505564E-2</v>
      </c>
      <c r="AA215" s="49">
        <f t="shared" si="24"/>
        <v>2010</v>
      </c>
      <c r="AB215" s="29">
        <f t="shared" si="25"/>
        <v>1.3480480207774865</v>
      </c>
      <c r="AC215" s="23">
        <f t="shared" si="26"/>
        <v>132</v>
      </c>
      <c r="AD215" s="23" t="str">
        <f t="shared" si="27"/>
        <v>No</v>
      </c>
    </row>
    <row r="216" spans="1:30" x14ac:dyDescent="0.3">
      <c r="A216" s="23">
        <v>215</v>
      </c>
      <c r="B216" s="21" t="s">
        <v>263</v>
      </c>
      <c r="C216" s="23" t="s">
        <v>538</v>
      </c>
      <c r="D216" s="23">
        <v>-2</v>
      </c>
      <c r="E216" s="23" t="s">
        <v>44</v>
      </c>
      <c r="F216" s="23" t="s">
        <v>42</v>
      </c>
      <c r="G216" s="25">
        <v>4.9240000000000004</v>
      </c>
      <c r="H216" s="25">
        <v>2.9308600166892341E-2</v>
      </c>
      <c r="I216" s="25">
        <v>0</v>
      </c>
      <c r="J216" s="25">
        <v>0</v>
      </c>
      <c r="K216" s="25">
        <v>0</v>
      </c>
      <c r="L216" s="25">
        <v>0</v>
      </c>
      <c r="M216" s="25"/>
      <c r="N216" s="25">
        <v>0</v>
      </c>
      <c r="O216" s="25">
        <v>0</v>
      </c>
      <c r="P216" s="25">
        <v>0</v>
      </c>
      <c r="Q216" s="25">
        <v>0</v>
      </c>
      <c r="R216" s="25">
        <v>0</v>
      </c>
      <c r="S216" s="25"/>
      <c r="T216" s="25">
        <v>2.2148002786754339E-2</v>
      </c>
      <c r="U216" s="25">
        <v>0</v>
      </c>
      <c r="V216" s="25">
        <v>0</v>
      </c>
      <c r="W216" s="25">
        <v>0</v>
      </c>
      <c r="X216" s="25">
        <f t="shared" si="21"/>
        <v>5.145660295364668E-2</v>
      </c>
      <c r="Y216" s="27">
        <f t="shared" si="22"/>
        <v>1.0450163069383971</v>
      </c>
      <c r="Z216" s="25">
        <f t="shared" si="23"/>
        <v>2.9308600166892341E-2</v>
      </c>
      <c r="AA216" s="49">
        <f t="shared" si="24"/>
        <v>2010</v>
      </c>
      <c r="AB216" s="29">
        <f t="shared" si="25"/>
        <v>0.59521933726426357</v>
      </c>
      <c r="AC216" s="23">
        <f t="shared" si="26"/>
        <v>165</v>
      </c>
      <c r="AD216" s="23" t="str">
        <f t="shared" si="27"/>
        <v>No</v>
      </c>
    </row>
    <row r="217" spans="1:30" x14ac:dyDescent="0.3">
      <c r="A217" s="23">
        <v>216</v>
      </c>
      <c r="B217" s="21" t="s">
        <v>264</v>
      </c>
      <c r="C217" s="23" t="s">
        <v>539</v>
      </c>
      <c r="D217" s="23">
        <v>-1</v>
      </c>
      <c r="E217" s="23" t="s">
        <v>55</v>
      </c>
      <c r="F217" s="23" t="s">
        <v>42</v>
      </c>
      <c r="G217" s="25">
        <v>4.3449999999999998</v>
      </c>
      <c r="H217" s="25">
        <v>3.0713070084019391E-2</v>
      </c>
      <c r="I217" s="25">
        <v>0.10771002789898426</v>
      </c>
      <c r="J217" s="25">
        <v>0</v>
      </c>
      <c r="K217" s="25">
        <v>0</v>
      </c>
      <c r="L217" s="25">
        <v>0</v>
      </c>
      <c r="M217" s="25"/>
      <c r="N217" s="25">
        <v>0</v>
      </c>
      <c r="O217" s="25">
        <v>0</v>
      </c>
      <c r="P217" s="25">
        <v>0</v>
      </c>
      <c r="Q217" s="25">
        <v>0</v>
      </c>
      <c r="R217" s="25">
        <v>0</v>
      </c>
      <c r="S217" s="25"/>
      <c r="T217" s="25">
        <v>8.7433396684407638E-2</v>
      </c>
      <c r="U217" s="25">
        <v>2.5153160058648792E-4</v>
      </c>
      <c r="V217" s="25">
        <v>0</v>
      </c>
      <c r="W217" s="25">
        <v>0</v>
      </c>
      <c r="X217" s="25">
        <f t="shared" si="21"/>
        <v>0.22610802626799778</v>
      </c>
      <c r="Y217" s="27">
        <f t="shared" si="22"/>
        <v>5.2038671177905131</v>
      </c>
      <c r="Z217" s="25">
        <f t="shared" si="23"/>
        <v>0.10771002789898426</v>
      </c>
      <c r="AA217" s="49">
        <f t="shared" si="24"/>
        <v>2011</v>
      </c>
      <c r="AB217" s="29">
        <f t="shared" si="25"/>
        <v>2.4789419539467032</v>
      </c>
      <c r="AC217" s="23">
        <f t="shared" si="26"/>
        <v>100</v>
      </c>
      <c r="AD217" s="23" t="str">
        <f t="shared" si="27"/>
        <v>No</v>
      </c>
    </row>
    <row r="218" spans="1:30" x14ac:dyDescent="0.3">
      <c r="A218" s="23">
        <v>217</v>
      </c>
      <c r="B218" s="21" t="s">
        <v>265</v>
      </c>
      <c r="C218" s="23" t="s">
        <v>540</v>
      </c>
      <c r="D218" s="23">
        <v>-1</v>
      </c>
      <c r="E218" s="23" t="s">
        <v>55</v>
      </c>
      <c r="F218" s="23" t="s">
        <v>42</v>
      </c>
      <c r="G218" s="25">
        <v>3.0049999999999999</v>
      </c>
      <c r="H218" s="25">
        <v>5.1849827287006732E-2</v>
      </c>
      <c r="I218" s="25">
        <v>8.7214065396001558E-2</v>
      </c>
      <c r="J218" s="25">
        <v>0</v>
      </c>
      <c r="K218" s="25">
        <v>0</v>
      </c>
      <c r="L218" s="25">
        <v>0</v>
      </c>
      <c r="M218" s="25"/>
      <c r="N218" s="25">
        <v>0</v>
      </c>
      <c r="O218" s="25">
        <v>0</v>
      </c>
      <c r="P218" s="25">
        <v>0</v>
      </c>
      <c r="Q218" s="25">
        <v>0</v>
      </c>
      <c r="R218" s="25">
        <v>0</v>
      </c>
      <c r="S218" s="25"/>
      <c r="T218" s="25">
        <v>5.229521010037011E-2</v>
      </c>
      <c r="U218" s="25">
        <v>0</v>
      </c>
      <c r="V218" s="25">
        <v>0</v>
      </c>
      <c r="W218" s="25">
        <v>0</v>
      </c>
      <c r="X218" s="25">
        <f t="shared" si="21"/>
        <v>0.19135910278337839</v>
      </c>
      <c r="Y218" s="27">
        <f t="shared" si="22"/>
        <v>6.3680233871340572</v>
      </c>
      <c r="Z218" s="25">
        <f t="shared" si="23"/>
        <v>8.7214065396001558E-2</v>
      </c>
      <c r="AA218" s="49">
        <f t="shared" si="24"/>
        <v>2011</v>
      </c>
      <c r="AB218" s="29">
        <f t="shared" si="25"/>
        <v>2.9022983492845777</v>
      </c>
      <c r="AC218" s="23">
        <f t="shared" si="26"/>
        <v>89</v>
      </c>
      <c r="AD218" s="23" t="str">
        <f t="shared" si="27"/>
        <v>No</v>
      </c>
    </row>
    <row r="219" spans="1:30" x14ac:dyDescent="0.3">
      <c r="A219" s="23">
        <v>218</v>
      </c>
      <c r="B219" s="21" t="s">
        <v>266</v>
      </c>
      <c r="C219" s="23" t="s">
        <v>541</v>
      </c>
      <c r="D219" s="23">
        <v>-2</v>
      </c>
      <c r="E219" s="23" t="s">
        <v>44</v>
      </c>
      <c r="F219" s="23" t="s">
        <v>42</v>
      </c>
      <c r="G219" s="25">
        <v>1.357</v>
      </c>
      <c r="H219" s="25">
        <v>1.4274482101872563E-3</v>
      </c>
      <c r="I219" s="25">
        <v>2.6442668054988609E-3</v>
      </c>
      <c r="J219" s="25">
        <v>0</v>
      </c>
      <c r="K219" s="25">
        <v>0</v>
      </c>
      <c r="L219" s="25">
        <v>0</v>
      </c>
      <c r="M219" s="25"/>
      <c r="N219" s="25">
        <v>0</v>
      </c>
      <c r="O219" s="25">
        <v>0</v>
      </c>
      <c r="P219" s="25">
        <v>0</v>
      </c>
      <c r="Q219" s="25">
        <v>0</v>
      </c>
      <c r="R219" s="25">
        <v>0</v>
      </c>
      <c r="S219" s="25"/>
      <c r="T219" s="25">
        <v>3.1452059965389953E-2</v>
      </c>
      <c r="U219" s="25">
        <v>0</v>
      </c>
      <c r="V219" s="25">
        <v>0</v>
      </c>
      <c r="W219" s="25">
        <v>0</v>
      </c>
      <c r="X219" s="25">
        <f t="shared" si="21"/>
        <v>3.5523774981076069E-2</v>
      </c>
      <c r="Y219" s="27">
        <f t="shared" si="22"/>
        <v>2.6178168740660328</v>
      </c>
      <c r="Z219" s="25">
        <f t="shared" si="23"/>
        <v>3.1452059965389953E-2</v>
      </c>
      <c r="AA219" s="49">
        <f t="shared" si="24"/>
        <v>2022</v>
      </c>
      <c r="AB219" s="29">
        <f t="shared" si="25"/>
        <v>2.317764183153276</v>
      </c>
      <c r="AC219" s="23">
        <f t="shared" si="26"/>
        <v>103</v>
      </c>
      <c r="AD219" s="23" t="str">
        <f t="shared" si="27"/>
        <v>No</v>
      </c>
    </row>
    <row r="220" spans="1:30" x14ac:dyDescent="0.3">
      <c r="A220" s="23">
        <v>219</v>
      </c>
      <c r="B220" s="21" t="s">
        <v>267</v>
      </c>
      <c r="C220" s="23" t="s">
        <v>542</v>
      </c>
      <c r="D220" s="23">
        <v>-3</v>
      </c>
      <c r="E220" s="23" t="s">
        <v>41</v>
      </c>
      <c r="F220" s="23" t="s">
        <v>42</v>
      </c>
      <c r="G220" s="25">
        <v>4.9649999999999999</v>
      </c>
      <c r="H220" s="25">
        <v>8.6191911718965283E-3</v>
      </c>
      <c r="I220" s="25">
        <v>0</v>
      </c>
      <c r="J220" s="25">
        <v>3.4730856898613273E-4</v>
      </c>
      <c r="K220" s="25">
        <v>0</v>
      </c>
      <c r="L220" s="25">
        <v>0</v>
      </c>
      <c r="M220" s="25"/>
      <c r="N220" s="25">
        <v>0</v>
      </c>
      <c r="O220" s="25">
        <v>0</v>
      </c>
      <c r="P220" s="25">
        <v>0</v>
      </c>
      <c r="Q220" s="25">
        <v>0</v>
      </c>
      <c r="R220" s="25">
        <v>0</v>
      </c>
      <c r="S220" s="25"/>
      <c r="T220" s="25">
        <v>8.2868860566055552E-2</v>
      </c>
      <c r="U220" s="25">
        <v>0</v>
      </c>
      <c r="V220" s="25">
        <v>2.0855254007410258E-4</v>
      </c>
      <c r="W220" s="25">
        <v>0</v>
      </c>
      <c r="X220" s="25">
        <f t="shared" si="21"/>
        <v>9.2043912847012313E-2</v>
      </c>
      <c r="Y220" s="27">
        <f t="shared" si="22"/>
        <v>1.8538552436457669</v>
      </c>
      <c r="Z220" s="25">
        <f t="shared" si="23"/>
        <v>8.2868860566055552E-2</v>
      </c>
      <c r="AA220" s="49">
        <f t="shared" si="24"/>
        <v>2022</v>
      </c>
      <c r="AB220" s="29">
        <f t="shared" si="25"/>
        <v>1.6690606357715119</v>
      </c>
      <c r="AC220" s="23">
        <f t="shared" si="26"/>
        <v>120</v>
      </c>
      <c r="AD220" s="23" t="str">
        <f t="shared" si="27"/>
        <v>No</v>
      </c>
    </row>
    <row r="221" spans="1:30" x14ac:dyDescent="0.3">
      <c r="A221" s="23">
        <v>220</v>
      </c>
      <c r="B221" s="21" t="s">
        <v>268</v>
      </c>
      <c r="C221" s="23" t="s">
        <v>543</v>
      </c>
      <c r="D221" s="23">
        <v>-3</v>
      </c>
      <c r="E221" s="23" t="s">
        <v>41</v>
      </c>
      <c r="F221" s="23" t="s">
        <v>42</v>
      </c>
      <c r="G221" s="25">
        <v>1.748</v>
      </c>
      <c r="H221" s="25">
        <v>7.1710384749999936E-3</v>
      </c>
      <c r="I221" s="25">
        <v>2.4309135199959564E-4</v>
      </c>
      <c r="J221" s="25">
        <v>0</v>
      </c>
      <c r="K221" s="25">
        <v>0</v>
      </c>
      <c r="L221" s="25">
        <v>0</v>
      </c>
      <c r="M221" s="25"/>
      <c r="N221" s="25">
        <v>0</v>
      </c>
      <c r="O221" s="25">
        <v>0</v>
      </c>
      <c r="P221" s="25">
        <v>0</v>
      </c>
      <c r="Q221" s="25">
        <v>0</v>
      </c>
      <c r="R221" s="25">
        <v>0</v>
      </c>
      <c r="S221" s="25"/>
      <c r="T221" s="25">
        <v>6.4281079524762322E-2</v>
      </c>
      <c r="U221" s="25">
        <v>1.3668595507275314E-4</v>
      </c>
      <c r="V221" s="25">
        <v>0</v>
      </c>
      <c r="W221" s="25">
        <v>0</v>
      </c>
      <c r="X221" s="25">
        <f t="shared" si="21"/>
        <v>7.1831895306834662E-2</v>
      </c>
      <c r="Y221" s="27">
        <f t="shared" si="22"/>
        <v>4.1093761617182301</v>
      </c>
      <c r="Z221" s="25">
        <f t="shared" si="23"/>
        <v>6.4281079524762322E-2</v>
      </c>
      <c r="AA221" s="49">
        <f t="shared" si="24"/>
        <v>2022</v>
      </c>
      <c r="AB221" s="29">
        <f t="shared" si="25"/>
        <v>3.6774072954669523</v>
      </c>
      <c r="AC221" s="23">
        <f t="shared" si="26"/>
        <v>72</v>
      </c>
      <c r="AD221" s="23" t="str">
        <f t="shared" si="27"/>
        <v>No</v>
      </c>
    </row>
    <row r="222" spans="1:30" x14ac:dyDescent="0.3">
      <c r="A222" s="23">
        <v>221</v>
      </c>
      <c r="B222" s="21" t="s">
        <v>269</v>
      </c>
      <c r="C222" s="23" t="s">
        <v>544</v>
      </c>
      <c r="D222" s="23">
        <v>-3</v>
      </c>
      <c r="E222" s="23" t="s">
        <v>41</v>
      </c>
      <c r="F222" s="23" t="s">
        <v>42</v>
      </c>
      <c r="G222" s="25">
        <v>7.3869999999999996</v>
      </c>
      <c r="H222" s="25">
        <v>0</v>
      </c>
      <c r="I222" s="25">
        <v>0</v>
      </c>
      <c r="J222" s="25">
        <v>0</v>
      </c>
      <c r="K222" s="25">
        <v>0</v>
      </c>
      <c r="L222" s="25">
        <v>0</v>
      </c>
      <c r="M222" s="25"/>
      <c r="N222" s="25">
        <v>0</v>
      </c>
      <c r="O222" s="25">
        <v>0</v>
      </c>
      <c r="P222" s="25">
        <v>0</v>
      </c>
      <c r="Q222" s="25">
        <v>0</v>
      </c>
      <c r="R222" s="25">
        <v>0</v>
      </c>
      <c r="S222" s="25"/>
      <c r="T222" s="25">
        <v>0</v>
      </c>
      <c r="U222" s="25">
        <v>0</v>
      </c>
      <c r="V222" s="25">
        <v>0</v>
      </c>
      <c r="W222" s="25">
        <v>0</v>
      </c>
      <c r="X222" s="25">
        <f t="shared" si="21"/>
        <v>0</v>
      </c>
      <c r="Y222" s="27">
        <f t="shared" si="22"/>
        <v>0</v>
      </c>
      <c r="Z222" s="25">
        <f t="shared" si="23"/>
        <v>0</v>
      </c>
      <c r="AA222" s="49">
        <f t="shared" si="24"/>
        <v>2010</v>
      </c>
      <c r="AB222" s="29">
        <f t="shared" si="25"/>
        <v>0</v>
      </c>
      <c r="AC222" s="23">
        <f t="shared" si="26"/>
        <v>232</v>
      </c>
      <c r="AD222" s="23" t="str">
        <f t="shared" si="27"/>
        <v>No</v>
      </c>
    </row>
    <row r="223" spans="1:30" x14ac:dyDescent="0.3">
      <c r="A223" s="23">
        <v>222</v>
      </c>
      <c r="B223" s="21" t="s">
        <v>270</v>
      </c>
      <c r="C223" s="23" t="s">
        <v>545</v>
      </c>
      <c r="D223" s="23">
        <v>-2</v>
      </c>
      <c r="E223" s="23" t="s">
        <v>44</v>
      </c>
      <c r="F223" s="23" t="s">
        <v>42</v>
      </c>
      <c r="G223" s="25">
        <v>4.0960000000000001</v>
      </c>
      <c r="H223" s="25">
        <v>0.27315945316168477</v>
      </c>
      <c r="I223" s="25">
        <v>0</v>
      </c>
      <c r="J223" s="25">
        <v>4.3066613853043236E-4</v>
      </c>
      <c r="K223" s="25">
        <v>0</v>
      </c>
      <c r="L223" s="25">
        <v>0</v>
      </c>
      <c r="M223" s="25"/>
      <c r="N223" s="25">
        <v>6.6137199622632757E-4</v>
      </c>
      <c r="O223" s="25">
        <v>0</v>
      </c>
      <c r="P223" s="25">
        <v>0</v>
      </c>
      <c r="Q223" s="25">
        <v>0</v>
      </c>
      <c r="R223" s="25">
        <v>0</v>
      </c>
      <c r="S223" s="25"/>
      <c r="T223" s="25">
        <v>5.5011887132289453E-2</v>
      </c>
      <c r="U223" s="25">
        <v>1.577578939591578E-3</v>
      </c>
      <c r="V223" s="25">
        <v>0</v>
      </c>
      <c r="W223" s="25">
        <v>0</v>
      </c>
      <c r="X223" s="25">
        <f t="shared" si="21"/>
        <v>0.33084095736832259</v>
      </c>
      <c r="Y223" s="27">
        <f t="shared" si="22"/>
        <v>8.0771718107500625</v>
      </c>
      <c r="Z223" s="25">
        <f t="shared" si="23"/>
        <v>0.27315945316168477</v>
      </c>
      <c r="AA223" s="49">
        <f t="shared" si="24"/>
        <v>2010</v>
      </c>
      <c r="AB223" s="29">
        <f t="shared" si="25"/>
        <v>6.6689319619551952</v>
      </c>
      <c r="AC223" s="23">
        <f t="shared" si="26"/>
        <v>43</v>
      </c>
      <c r="AD223" s="23" t="str">
        <f t="shared" si="27"/>
        <v>No</v>
      </c>
    </row>
    <row r="224" spans="1:30" x14ac:dyDescent="0.3">
      <c r="A224" s="23">
        <v>223</v>
      </c>
      <c r="B224" s="21" t="s">
        <v>271</v>
      </c>
      <c r="C224" s="23" t="s">
        <v>546</v>
      </c>
      <c r="D224" s="23">
        <v>-2</v>
      </c>
      <c r="E224" s="23" t="s">
        <v>44</v>
      </c>
      <c r="F224" s="23" t="s">
        <v>42</v>
      </c>
      <c r="G224" s="25">
        <v>0.69899999999999995</v>
      </c>
      <c r="H224" s="25">
        <v>1.9348959230887291E-2</v>
      </c>
      <c r="I224" s="25">
        <v>2.0595497900000046E-3</v>
      </c>
      <c r="J224" s="25">
        <v>0</v>
      </c>
      <c r="K224" s="25">
        <v>0</v>
      </c>
      <c r="L224" s="25">
        <v>0</v>
      </c>
      <c r="M224" s="25"/>
      <c r="N224" s="25">
        <v>0</v>
      </c>
      <c r="O224" s="25">
        <v>0</v>
      </c>
      <c r="P224" s="25">
        <v>0</v>
      </c>
      <c r="Q224" s="25">
        <v>0</v>
      </c>
      <c r="R224" s="25">
        <v>0</v>
      </c>
      <c r="S224" s="25"/>
      <c r="T224" s="25">
        <v>1.778396296460057E-2</v>
      </c>
      <c r="U224" s="25">
        <v>0</v>
      </c>
      <c r="V224" s="25">
        <v>0</v>
      </c>
      <c r="W224" s="25">
        <v>0</v>
      </c>
      <c r="X224" s="25">
        <f t="shared" si="21"/>
        <v>3.9192471985487864E-2</v>
      </c>
      <c r="Y224" s="27">
        <f t="shared" si="22"/>
        <v>5.6069344757493376</v>
      </c>
      <c r="Z224" s="25">
        <f t="shared" si="23"/>
        <v>1.9348959230887291E-2</v>
      </c>
      <c r="AA224" s="49">
        <f t="shared" si="24"/>
        <v>2010</v>
      </c>
      <c r="AB224" s="29">
        <f t="shared" si="25"/>
        <v>2.768091449340099</v>
      </c>
      <c r="AC224" s="23">
        <f t="shared" si="26"/>
        <v>92</v>
      </c>
      <c r="AD224" s="23" t="str">
        <f t="shared" si="27"/>
        <v>No</v>
      </c>
    </row>
    <row r="225" spans="1:30" x14ac:dyDescent="0.3">
      <c r="A225" s="23">
        <v>224</v>
      </c>
      <c r="B225" s="21" t="s">
        <v>272</v>
      </c>
      <c r="C225" s="23" t="s">
        <v>547</v>
      </c>
      <c r="D225" s="23">
        <v>-2</v>
      </c>
      <c r="E225" s="23" t="s">
        <v>44</v>
      </c>
      <c r="F225" s="23" t="s">
        <v>42</v>
      </c>
      <c r="G225" s="25">
        <v>1.6020000000000001</v>
      </c>
      <c r="H225" s="25">
        <v>6.5644844505149916E-2</v>
      </c>
      <c r="I225" s="25">
        <v>7.5554102166422263E-2</v>
      </c>
      <c r="J225" s="25">
        <v>0</v>
      </c>
      <c r="K225" s="25">
        <v>0</v>
      </c>
      <c r="L225" s="25">
        <v>0</v>
      </c>
      <c r="M225" s="25"/>
      <c r="N225" s="25">
        <v>0</v>
      </c>
      <c r="O225" s="25">
        <v>0</v>
      </c>
      <c r="P225" s="25">
        <v>0</v>
      </c>
      <c r="Q225" s="25">
        <v>0</v>
      </c>
      <c r="R225" s="25">
        <v>0</v>
      </c>
      <c r="S225" s="25"/>
      <c r="T225" s="25">
        <v>4.74078813649274E-2</v>
      </c>
      <c r="U225" s="25">
        <v>2.1244138008408482E-4</v>
      </c>
      <c r="V225" s="25">
        <v>0</v>
      </c>
      <c r="W225" s="25">
        <v>0</v>
      </c>
      <c r="X225" s="25">
        <f t="shared" si="21"/>
        <v>0.18881926941658367</v>
      </c>
      <c r="Y225" s="27">
        <f t="shared" si="22"/>
        <v>11.786471249474635</v>
      </c>
      <c r="Z225" s="25">
        <f t="shared" si="23"/>
        <v>7.5554102166422263E-2</v>
      </c>
      <c r="AA225" s="49">
        <f t="shared" si="24"/>
        <v>2011</v>
      </c>
      <c r="AB225" s="29">
        <f t="shared" si="25"/>
        <v>4.7162360902885299</v>
      </c>
      <c r="AC225" s="23">
        <f t="shared" si="26"/>
        <v>59</v>
      </c>
      <c r="AD225" s="23" t="str">
        <f t="shared" si="27"/>
        <v>No</v>
      </c>
    </row>
    <row r="226" spans="1:30" x14ac:dyDescent="0.3">
      <c r="A226" s="23">
        <v>225</v>
      </c>
      <c r="B226" s="21" t="s">
        <v>273</v>
      </c>
      <c r="C226" s="23" t="s">
        <v>548</v>
      </c>
      <c r="D226" s="23">
        <v>-2</v>
      </c>
      <c r="E226" s="23" t="s">
        <v>44</v>
      </c>
      <c r="F226" s="23" t="s">
        <v>42</v>
      </c>
      <c r="G226" s="25">
        <v>2.9670000000000001</v>
      </c>
      <c r="H226" s="25">
        <v>2.9043520339228728E-2</v>
      </c>
      <c r="I226" s="25">
        <v>3.6428088333566429E-2</v>
      </c>
      <c r="J226" s="25">
        <v>0</v>
      </c>
      <c r="K226" s="25">
        <v>0</v>
      </c>
      <c r="L226" s="25">
        <v>0</v>
      </c>
      <c r="M226" s="25"/>
      <c r="N226" s="25">
        <v>0</v>
      </c>
      <c r="O226" s="25">
        <v>0</v>
      </c>
      <c r="P226" s="25">
        <v>0</v>
      </c>
      <c r="Q226" s="25">
        <v>0</v>
      </c>
      <c r="R226" s="25">
        <v>0</v>
      </c>
      <c r="S226" s="25"/>
      <c r="T226" s="25">
        <v>4.4149202893328909E-2</v>
      </c>
      <c r="U226" s="25">
        <v>2.4799877506271879E-4</v>
      </c>
      <c r="V226" s="25">
        <v>0</v>
      </c>
      <c r="W226" s="25">
        <v>0</v>
      </c>
      <c r="X226" s="25">
        <f t="shared" si="21"/>
        <v>0.10986881034118678</v>
      </c>
      <c r="Y226" s="27">
        <f t="shared" si="22"/>
        <v>3.7030269747619409</v>
      </c>
      <c r="Z226" s="25">
        <f t="shared" si="23"/>
        <v>4.4149202893328909E-2</v>
      </c>
      <c r="AA226" s="49">
        <f t="shared" si="24"/>
        <v>2022</v>
      </c>
      <c r="AB226" s="29">
        <f t="shared" si="25"/>
        <v>1.4880081864957502</v>
      </c>
      <c r="AC226" s="23">
        <f t="shared" si="26"/>
        <v>127</v>
      </c>
      <c r="AD226" s="23" t="str">
        <f t="shared" si="27"/>
        <v>No</v>
      </c>
    </row>
    <row r="227" spans="1:30" x14ac:dyDescent="0.3">
      <c r="A227" s="23">
        <v>226</v>
      </c>
      <c r="B227" s="21" t="s">
        <v>274</v>
      </c>
      <c r="C227" s="23" t="s">
        <v>549</v>
      </c>
      <c r="D227" s="23">
        <v>-2</v>
      </c>
      <c r="E227" s="23" t="s">
        <v>44</v>
      </c>
      <c r="F227" s="23" t="s">
        <v>42</v>
      </c>
      <c r="G227" s="25">
        <v>1.208</v>
      </c>
      <c r="H227" s="25">
        <v>4.4510580331358462E-2</v>
      </c>
      <c r="I227" s="25">
        <v>2.7539170181918305E-2</v>
      </c>
      <c r="J227" s="25">
        <v>0</v>
      </c>
      <c r="K227" s="25">
        <v>0</v>
      </c>
      <c r="L227" s="25">
        <v>0</v>
      </c>
      <c r="M227" s="25"/>
      <c r="N227" s="25">
        <v>0</v>
      </c>
      <c r="O227" s="25">
        <v>0</v>
      </c>
      <c r="P227" s="25">
        <v>0</v>
      </c>
      <c r="Q227" s="25">
        <v>0</v>
      </c>
      <c r="R227" s="25">
        <v>0</v>
      </c>
      <c r="S227" s="25"/>
      <c r="T227" s="25">
        <v>1.6626490007465647E-2</v>
      </c>
      <c r="U227" s="25">
        <v>0</v>
      </c>
      <c r="V227" s="25">
        <v>0</v>
      </c>
      <c r="W227" s="25">
        <v>0</v>
      </c>
      <c r="X227" s="25">
        <f t="shared" si="21"/>
        <v>8.8676240520742411E-2</v>
      </c>
      <c r="Y227" s="27">
        <f t="shared" si="22"/>
        <v>7.3407483874786763</v>
      </c>
      <c r="Z227" s="25">
        <f t="shared" si="23"/>
        <v>4.4510580331358462E-2</v>
      </c>
      <c r="AA227" s="49">
        <f t="shared" si="24"/>
        <v>2010</v>
      </c>
      <c r="AB227" s="29">
        <f t="shared" si="25"/>
        <v>3.6846506896819919</v>
      </c>
      <c r="AC227" s="23">
        <f t="shared" si="26"/>
        <v>71</v>
      </c>
      <c r="AD227" s="23" t="str">
        <f t="shared" si="27"/>
        <v>No</v>
      </c>
    </row>
    <row r="228" spans="1:30" x14ac:dyDescent="0.3">
      <c r="A228" s="23">
        <v>227</v>
      </c>
      <c r="B228" s="21" t="s">
        <v>275</v>
      </c>
      <c r="C228" s="23" t="s">
        <v>550</v>
      </c>
      <c r="D228" s="23">
        <v>0</v>
      </c>
      <c r="E228" s="23" t="s">
        <v>276</v>
      </c>
      <c r="F228" s="23" t="s">
        <v>42</v>
      </c>
      <c r="G228" s="25">
        <v>0.54100000000000004</v>
      </c>
      <c r="H228" s="25">
        <v>6.4812192999967372E-4</v>
      </c>
      <c r="I228" s="25">
        <v>4.2543242714987058E-3</v>
      </c>
      <c r="J228" s="25">
        <v>0</v>
      </c>
      <c r="K228" s="25">
        <v>0</v>
      </c>
      <c r="L228" s="25">
        <v>0</v>
      </c>
      <c r="M228" s="25"/>
      <c r="N228" s="25">
        <v>0</v>
      </c>
      <c r="O228" s="25">
        <v>0</v>
      </c>
      <c r="P228" s="25">
        <v>0</v>
      </c>
      <c r="Q228" s="25">
        <v>0</v>
      </c>
      <c r="R228" s="25">
        <v>0</v>
      </c>
      <c r="S228" s="25"/>
      <c r="T228" s="25">
        <v>2.051128802022981E-2</v>
      </c>
      <c r="U228" s="25">
        <v>0</v>
      </c>
      <c r="V228" s="25">
        <v>0</v>
      </c>
      <c r="W228" s="25">
        <v>0</v>
      </c>
      <c r="X228" s="25">
        <f t="shared" si="21"/>
        <v>2.5413734221728188E-2</v>
      </c>
      <c r="Y228" s="27">
        <f t="shared" si="22"/>
        <v>4.6975479152917163</v>
      </c>
      <c r="Z228" s="25">
        <f t="shared" si="23"/>
        <v>2.051128802022981E-2</v>
      </c>
      <c r="AA228" s="49">
        <f t="shared" si="24"/>
        <v>2022</v>
      </c>
      <c r="AB228" s="29">
        <f t="shared" si="25"/>
        <v>3.7913656229629957</v>
      </c>
      <c r="AC228" s="23">
        <f t="shared" si="26"/>
        <v>69</v>
      </c>
      <c r="AD228" s="23" t="str">
        <f t="shared" si="27"/>
        <v>No</v>
      </c>
    </row>
    <row r="229" spans="1:30" x14ac:dyDescent="0.3">
      <c r="A229" s="23">
        <v>228</v>
      </c>
      <c r="B229" s="21" t="s">
        <v>277</v>
      </c>
      <c r="C229" s="23" t="s">
        <v>551</v>
      </c>
      <c r="D229" s="23">
        <v>-1</v>
      </c>
      <c r="E229" s="23" t="s">
        <v>55</v>
      </c>
      <c r="F229" s="23" t="s">
        <v>42</v>
      </c>
      <c r="G229" s="25">
        <v>3.4340000000000002</v>
      </c>
      <c r="H229" s="25">
        <v>0</v>
      </c>
      <c r="I229" s="25">
        <v>0</v>
      </c>
      <c r="J229" s="25">
        <v>2.8654326432914239E-4</v>
      </c>
      <c r="K229" s="25">
        <v>0</v>
      </c>
      <c r="L229" s="25">
        <v>0</v>
      </c>
      <c r="M229" s="25"/>
      <c r="N229" s="25">
        <v>0</v>
      </c>
      <c r="O229" s="25">
        <v>0</v>
      </c>
      <c r="P229" s="25">
        <v>0</v>
      </c>
      <c r="Q229" s="25">
        <v>0</v>
      </c>
      <c r="R229" s="25">
        <v>0</v>
      </c>
      <c r="S229" s="25"/>
      <c r="T229" s="25">
        <v>1.0260222772504367E-2</v>
      </c>
      <c r="U229" s="25">
        <v>0</v>
      </c>
      <c r="V229" s="25">
        <v>0</v>
      </c>
      <c r="W229" s="25">
        <v>0</v>
      </c>
      <c r="X229" s="25">
        <f t="shared" si="21"/>
        <v>1.0546766036833509E-2</v>
      </c>
      <c r="Y229" s="27">
        <f t="shared" si="22"/>
        <v>0.30712772384488957</v>
      </c>
      <c r="Z229" s="25">
        <f t="shared" si="23"/>
        <v>1.0260222772504367E-2</v>
      </c>
      <c r="AA229" s="49">
        <f t="shared" si="24"/>
        <v>2022</v>
      </c>
      <c r="AB229" s="29">
        <f t="shared" si="25"/>
        <v>0.29878342377706368</v>
      </c>
      <c r="AC229" s="23">
        <f t="shared" si="26"/>
        <v>178</v>
      </c>
      <c r="AD229" s="23" t="str">
        <f t="shared" si="27"/>
        <v>No</v>
      </c>
    </row>
    <row r="230" spans="1:30" x14ac:dyDescent="0.3">
      <c r="A230" s="23">
        <v>229</v>
      </c>
      <c r="B230" s="21" t="s">
        <v>278</v>
      </c>
      <c r="C230" s="23" t="s">
        <v>552</v>
      </c>
      <c r="D230" s="23" t="s">
        <v>120</v>
      </c>
      <c r="E230" s="23" t="s">
        <v>120</v>
      </c>
      <c r="F230" s="23" t="s">
        <v>121</v>
      </c>
      <c r="G230" s="25">
        <v>6.3120000000000003</v>
      </c>
      <c r="H230" s="25">
        <v>0</v>
      </c>
      <c r="I230" s="25">
        <v>0</v>
      </c>
      <c r="J230" s="25">
        <v>0</v>
      </c>
      <c r="K230" s="25">
        <v>0</v>
      </c>
      <c r="L230" s="25">
        <v>0</v>
      </c>
      <c r="M230" s="25"/>
      <c r="N230" s="25">
        <v>0</v>
      </c>
      <c r="O230" s="25">
        <v>0</v>
      </c>
      <c r="P230" s="25">
        <v>0</v>
      </c>
      <c r="Q230" s="25">
        <v>0</v>
      </c>
      <c r="R230" s="25">
        <v>0</v>
      </c>
      <c r="S230" s="25"/>
      <c r="T230" s="25">
        <v>5.4758329051112524E-3</v>
      </c>
      <c r="U230" s="25">
        <v>0</v>
      </c>
      <c r="V230" s="25">
        <v>0</v>
      </c>
      <c r="W230" s="25">
        <v>0</v>
      </c>
      <c r="X230" s="25">
        <f t="shared" si="21"/>
        <v>5.4758329051112524E-3</v>
      </c>
      <c r="Y230" s="27">
        <f t="shared" si="22"/>
        <v>8.6752739307846202E-2</v>
      </c>
      <c r="Z230" s="25">
        <f t="shared" si="23"/>
        <v>5.4758329051112524E-3</v>
      </c>
      <c r="AA230" s="49">
        <f t="shared" si="24"/>
        <v>2022</v>
      </c>
      <c r="AB230" s="29">
        <f t="shared" si="25"/>
        <v>8.6752739307846202E-2</v>
      </c>
      <c r="AC230" s="23" t="str">
        <f t="shared" si="26"/>
        <v/>
      </c>
      <c r="AD230" s="23" t="str">
        <f t="shared" si="27"/>
        <v>No</v>
      </c>
    </row>
    <row r="231" spans="1:30" x14ac:dyDescent="0.3">
      <c r="A231" s="23">
        <v>230</v>
      </c>
      <c r="B231" s="21" t="s">
        <v>279</v>
      </c>
      <c r="C231" s="23" t="s">
        <v>553</v>
      </c>
      <c r="D231" s="23">
        <v>-2</v>
      </c>
      <c r="E231" s="23" t="s">
        <v>44</v>
      </c>
      <c r="F231" s="23" t="s">
        <v>42</v>
      </c>
      <c r="G231" s="25">
        <v>6.391</v>
      </c>
      <c r="H231" s="25">
        <v>0</v>
      </c>
      <c r="I231" s="25">
        <v>3.5599607197500167E-2</v>
      </c>
      <c r="J231" s="25">
        <v>0</v>
      </c>
      <c r="K231" s="25">
        <v>0</v>
      </c>
      <c r="L231" s="25">
        <v>0</v>
      </c>
      <c r="M231" s="25"/>
      <c r="N231" s="25">
        <v>0</v>
      </c>
      <c r="O231" s="25">
        <v>0</v>
      </c>
      <c r="P231" s="25">
        <v>6.4188163982830662E-3</v>
      </c>
      <c r="Q231" s="25">
        <v>0</v>
      </c>
      <c r="R231" s="25">
        <v>9.2537337639485488E-5</v>
      </c>
      <c r="S231" s="25"/>
      <c r="T231" s="25">
        <v>9.282256760344533E-3</v>
      </c>
      <c r="U231" s="25">
        <v>2.7162890262750442E-4</v>
      </c>
      <c r="V231" s="25">
        <v>2.7162890262732981E-4</v>
      </c>
      <c r="W231" s="25">
        <v>0.50187475880577659</v>
      </c>
      <c r="X231" s="25">
        <f t="shared" si="21"/>
        <v>0.55381123430479873</v>
      </c>
      <c r="Y231" s="27">
        <f t="shared" si="22"/>
        <v>8.6654863762290528</v>
      </c>
      <c r="Z231" s="25">
        <f t="shared" si="23"/>
        <v>0.50187475880577659</v>
      </c>
      <c r="AA231" s="49">
        <f t="shared" si="24"/>
        <v>2025</v>
      </c>
      <c r="AB231" s="29">
        <f t="shared" si="25"/>
        <v>7.8528361571863021</v>
      </c>
      <c r="AC231" s="23">
        <f t="shared" si="26"/>
        <v>39</v>
      </c>
      <c r="AD231" s="23" t="str">
        <f t="shared" si="27"/>
        <v>No</v>
      </c>
    </row>
    <row r="232" spans="1:30" x14ac:dyDescent="0.3">
      <c r="A232" s="23">
        <v>231</v>
      </c>
      <c r="B232" s="21" t="s">
        <v>280</v>
      </c>
      <c r="C232" s="23" t="s">
        <v>554</v>
      </c>
      <c r="D232" s="23">
        <v>-2</v>
      </c>
      <c r="E232" s="23" t="s">
        <v>44</v>
      </c>
      <c r="F232" s="23" t="s">
        <v>42</v>
      </c>
      <c r="G232" s="25">
        <v>7.5529999999999999</v>
      </c>
      <c r="H232" s="25">
        <v>0</v>
      </c>
      <c r="I232" s="25">
        <v>3.8760090198498076E-2</v>
      </c>
      <c r="J232" s="25">
        <v>0</v>
      </c>
      <c r="K232" s="25">
        <v>0</v>
      </c>
      <c r="L232" s="25">
        <v>0</v>
      </c>
      <c r="M232" s="25"/>
      <c r="N232" s="25">
        <v>0</v>
      </c>
      <c r="O232" s="25">
        <v>0</v>
      </c>
      <c r="P232" s="25">
        <v>4.1755569766287225E-4</v>
      </c>
      <c r="Q232" s="25">
        <v>0</v>
      </c>
      <c r="R232" s="25">
        <v>0</v>
      </c>
      <c r="S232" s="25"/>
      <c r="T232" s="25">
        <v>1.2979161409480289E-3</v>
      </c>
      <c r="U232" s="25">
        <v>1.1727933944538453E-3</v>
      </c>
      <c r="V232" s="25">
        <v>1.9972111134676672E-3</v>
      </c>
      <c r="W232" s="25">
        <v>0.52229338896067856</v>
      </c>
      <c r="X232" s="25">
        <f t="shared" si="21"/>
        <v>0.56593895550570905</v>
      </c>
      <c r="Y232" s="27">
        <f t="shared" si="22"/>
        <v>7.4929028929658292</v>
      </c>
      <c r="Z232" s="25">
        <f t="shared" si="23"/>
        <v>0.52229338896067856</v>
      </c>
      <c r="AA232" s="49">
        <f t="shared" si="24"/>
        <v>2025</v>
      </c>
      <c r="AB232" s="29">
        <f t="shared" si="25"/>
        <v>6.9150455310562506</v>
      </c>
      <c r="AC232" s="23">
        <f t="shared" si="26"/>
        <v>42</v>
      </c>
      <c r="AD232" s="23" t="str">
        <f t="shared" si="27"/>
        <v>No</v>
      </c>
    </row>
    <row r="233" spans="1:30" x14ac:dyDescent="0.3">
      <c r="A233" s="23">
        <v>232</v>
      </c>
      <c r="B233" s="21" t="s">
        <v>281</v>
      </c>
      <c r="C233" s="23" t="s">
        <v>555</v>
      </c>
      <c r="D233" s="23">
        <v>-2</v>
      </c>
      <c r="E233" s="23" t="s">
        <v>44</v>
      </c>
      <c r="F233" s="23" t="s">
        <v>42</v>
      </c>
      <c r="G233" s="25">
        <v>1.3240000000000001</v>
      </c>
      <c r="H233" s="25">
        <v>0</v>
      </c>
      <c r="I233" s="25">
        <v>1.4105740449499134E-2</v>
      </c>
      <c r="J233" s="25">
        <v>0</v>
      </c>
      <c r="K233" s="25">
        <v>0</v>
      </c>
      <c r="L233" s="25">
        <v>0</v>
      </c>
      <c r="M233" s="25"/>
      <c r="N233" s="25">
        <v>0</v>
      </c>
      <c r="O233" s="25">
        <v>0</v>
      </c>
      <c r="P233" s="25">
        <v>1.1277235822615621E-3</v>
      </c>
      <c r="Q233" s="25">
        <v>0</v>
      </c>
      <c r="R233" s="25">
        <v>1.1469760934391524E-4</v>
      </c>
      <c r="S233" s="25"/>
      <c r="T233" s="25">
        <v>7.3529097118561911E-4</v>
      </c>
      <c r="U233" s="25">
        <v>5.6965473639417909E-4</v>
      </c>
      <c r="V233" s="25">
        <v>6.3692027125799677E-4</v>
      </c>
      <c r="W233" s="25">
        <v>2.4286700006620959E-4</v>
      </c>
      <c r="X233" s="25">
        <f t="shared" si="21"/>
        <v>1.7532894620008614E-2</v>
      </c>
      <c r="Y233" s="27">
        <f t="shared" si="22"/>
        <v>1.3242367537770856</v>
      </c>
      <c r="Z233" s="25">
        <f t="shared" si="23"/>
        <v>1.4105740449499134E-2</v>
      </c>
      <c r="AA233" s="49">
        <f t="shared" si="24"/>
        <v>2011</v>
      </c>
      <c r="AB233" s="29">
        <f t="shared" si="25"/>
        <v>1.0653882514727442</v>
      </c>
      <c r="AC233" s="23">
        <f t="shared" si="26"/>
        <v>143</v>
      </c>
      <c r="AD233" s="23" t="str">
        <f t="shared" si="27"/>
        <v>No</v>
      </c>
    </row>
    <row r="234" spans="1:30" x14ac:dyDescent="0.3">
      <c r="A234" s="23">
        <v>233</v>
      </c>
      <c r="B234" s="21" t="s">
        <v>282</v>
      </c>
      <c r="C234" s="23" t="s">
        <v>556</v>
      </c>
      <c r="D234" s="23">
        <v>-2</v>
      </c>
      <c r="E234" s="23" t="s">
        <v>44</v>
      </c>
      <c r="F234" s="23" t="s">
        <v>42</v>
      </c>
      <c r="G234" s="25">
        <v>1.8160000000000001</v>
      </c>
      <c r="H234" s="25">
        <v>6.3459048825013478E-2</v>
      </c>
      <c r="I234" s="25">
        <v>0</v>
      </c>
      <c r="J234" s="25">
        <v>4.2779691573758497E-3</v>
      </c>
      <c r="K234" s="25">
        <v>0</v>
      </c>
      <c r="L234" s="25">
        <v>0</v>
      </c>
      <c r="M234" s="25"/>
      <c r="N234" s="25">
        <v>0</v>
      </c>
      <c r="O234" s="25">
        <v>3.9771002594084714E-4</v>
      </c>
      <c r="P234" s="25">
        <v>0</v>
      </c>
      <c r="Q234" s="25">
        <v>0</v>
      </c>
      <c r="R234" s="25">
        <v>0</v>
      </c>
      <c r="S234" s="25"/>
      <c r="T234" s="25">
        <v>3.420726797113087E-2</v>
      </c>
      <c r="U234" s="25">
        <v>4.9469775121759453E-4</v>
      </c>
      <c r="V234" s="25">
        <v>1.2245360005344263E-4</v>
      </c>
      <c r="W234" s="25">
        <v>0</v>
      </c>
      <c r="X234" s="25">
        <f t="shared" si="21"/>
        <v>0.10295914733073208</v>
      </c>
      <c r="Y234" s="27">
        <f t="shared" si="22"/>
        <v>5.6695565710755549</v>
      </c>
      <c r="Z234" s="25">
        <f t="shared" si="23"/>
        <v>6.3459048825013478E-2</v>
      </c>
      <c r="AA234" s="49">
        <f t="shared" si="24"/>
        <v>2010</v>
      </c>
      <c r="AB234" s="29">
        <f t="shared" si="25"/>
        <v>3.4944410145932534</v>
      </c>
      <c r="AC234" s="23">
        <f t="shared" si="26"/>
        <v>78</v>
      </c>
      <c r="AD234" s="23" t="str">
        <f t="shared" si="27"/>
        <v>No</v>
      </c>
    </row>
    <row r="235" spans="1:30" x14ac:dyDescent="0.3">
      <c r="A235" s="23">
        <v>234</v>
      </c>
      <c r="B235" s="21" t="s">
        <v>283</v>
      </c>
      <c r="C235" s="23" t="s">
        <v>557</v>
      </c>
      <c r="D235" s="23">
        <v>-3</v>
      </c>
      <c r="E235" s="23" t="s">
        <v>41</v>
      </c>
      <c r="F235" s="23" t="s">
        <v>42</v>
      </c>
      <c r="G235" s="25">
        <v>2.069</v>
      </c>
      <c r="H235" s="25">
        <v>0.11113631113604855</v>
      </c>
      <c r="I235" s="25">
        <v>5.3993863032005728E-2</v>
      </c>
      <c r="J235" s="25">
        <v>1.7479101127979375E-3</v>
      </c>
      <c r="K235" s="25">
        <v>0</v>
      </c>
      <c r="L235" s="25">
        <v>0</v>
      </c>
      <c r="M235" s="25"/>
      <c r="N235" s="25">
        <v>0</v>
      </c>
      <c r="O235" s="25">
        <v>0</v>
      </c>
      <c r="P235" s="25">
        <v>0</v>
      </c>
      <c r="Q235" s="25">
        <v>0</v>
      </c>
      <c r="R235" s="25">
        <v>0</v>
      </c>
      <c r="S235" s="25"/>
      <c r="T235" s="25">
        <v>3.6169255257697056E-2</v>
      </c>
      <c r="U235" s="25">
        <v>1.7075990009261295E-4</v>
      </c>
      <c r="V235" s="25">
        <v>1.0553010007285048E-4</v>
      </c>
      <c r="W235" s="25">
        <v>0</v>
      </c>
      <c r="X235" s="25">
        <f t="shared" si="21"/>
        <v>0.20332362953871472</v>
      </c>
      <c r="Y235" s="27">
        <f t="shared" si="22"/>
        <v>9.8271449752882898</v>
      </c>
      <c r="Z235" s="25">
        <f t="shared" si="23"/>
        <v>0.11113631113604855</v>
      </c>
      <c r="AA235" s="49">
        <f t="shared" si="24"/>
        <v>2010</v>
      </c>
      <c r="AB235" s="29">
        <f t="shared" si="25"/>
        <v>5.3714988465949034</v>
      </c>
      <c r="AC235" s="23">
        <f t="shared" si="26"/>
        <v>53</v>
      </c>
      <c r="AD235" s="23" t="str">
        <f t="shared" si="27"/>
        <v>No</v>
      </c>
    </row>
    <row r="236" spans="1:30" x14ac:dyDescent="0.3">
      <c r="A236" s="23">
        <v>235</v>
      </c>
      <c r="B236" s="21" t="s">
        <v>284</v>
      </c>
      <c r="C236" s="23" t="s">
        <v>558</v>
      </c>
      <c r="D236" s="23">
        <v>-2</v>
      </c>
      <c r="E236" s="23" t="s">
        <v>44</v>
      </c>
      <c r="F236" s="23" t="s">
        <v>42</v>
      </c>
      <c r="G236" s="25">
        <v>2.2109999999999999</v>
      </c>
      <c r="H236" s="25">
        <v>0.10448994983196193</v>
      </c>
      <c r="I236" s="25">
        <v>0.1022268074144991</v>
      </c>
      <c r="J236" s="25">
        <v>3.487469821186365E-3</v>
      </c>
      <c r="K236" s="25">
        <v>0</v>
      </c>
      <c r="L236" s="25">
        <v>0</v>
      </c>
      <c r="M236" s="25"/>
      <c r="N236" s="25">
        <v>0</v>
      </c>
      <c r="O236" s="25">
        <v>0</v>
      </c>
      <c r="P236" s="25">
        <v>0</v>
      </c>
      <c r="Q236" s="25">
        <v>0</v>
      </c>
      <c r="R236" s="25">
        <v>0</v>
      </c>
      <c r="S236" s="25"/>
      <c r="T236" s="25">
        <v>5.2801109064617158E-2</v>
      </c>
      <c r="U236" s="25">
        <v>0</v>
      </c>
      <c r="V236" s="25">
        <v>0</v>
      </c>
      <c r="W236" s="25">
        <v>0</v>
      </c>
      <c r="X236" s="25">
        <f t="shared" si="21"/>
        <v>0.26300533613226457</v>
      </c>
      <c r="Y236" s="27">
        <f t="shared" si="22"/>
        <v>11.895311448768185</v>
      </c>
      <c r="Z236" s="25">
        <f t="shared" si="23"/>
        <v>0.10448994983196193</v>
      </c>
      <c r="AA236" s="49">
        <f t="shared" si="24"/>
        <v>2010</v>
      </c>
      <c r="AB236" s="29">
        <f t="shared" si="25"/>
        <v>4.7259136061493416</v>
      </c>
      <c r="AC236" s="23">
        <f t="shared" si="26"/>
        <v>58</v>
      </c>
      <c r="AD236" s="23" t="str">
        <f t="shared" si="27"/>
        <v>No</v>
      </c>
    </row>
    <row r="237" spans="1:30" x14ac:dyDescent="0.3">
      <c r="A237" s="23">
        <v>236</v>
      </c>
      <c r="B237" s="21" t="s">
        <v>285</v>
      </c>
      <c r="C237" s="23" t="s">
        <v>559</v>
      </c>
      <c r="D237" s="23">
        <v>-2</v>
      </c>
      <c r="E237" s="23" t="s">
        <v>44</v>
      </c>
      <c r="F237" s="23" t="s">
        <v>42</v>
      </c>
      <c r="G237" s="25">
        <v>1.9019999999999999</v>
      </c>
      <c r="H237" s="25">
        <v>2.6221313400034793E-2</v>
      </c>
      <c r="I237" s="25">
        <v>7.6552873928941549E-3</v>
      </c>
      <c r="J237" s="25">
        <v>0</v>
      </c>
      <c r="K237" s="25">
        <v>0</v>
      </c>
      <c r="L237" s="25">
        <v>0</v>
      </c>
      <c r="M237" s="25"/>
      <c r="N237" s="25">
        <v>0</v>
      </c>
      <c r="O237" s="25">
        <v>0</v>
      </c>
      <c r="P237" s="25">
        <v>0</v>
      </c>
      <c r="Q237" s="25">
        <v>0</v>
      </c>
      <c r="R237" s="25">
        <v>0</v>
      </c>
      <c r="S237" s="25"/>
      <c r="T237" s="25">
        <v>5.7144825880626728E-2</v>
      </c>
      <c r="U237" s="25">
        <v>5.1048045008280311E-3</v>
      </c>
      <c r="V237" s="25">
        <v>4.7941491719568149E-4</v>
      </c>
      <c r="W237" s="25">
        <v>0</v>
      </c>
      <c r="X237" s="25">
        <f t="shared" si="21"/>
        <v>9.6605646091579386E-2</v>
      </c>
      <c r="Y237" s="27">
        <f t="shared" si="22"/>
        <v>5.0791612035530695</v>
      </c>
      <c r="Z237" s="25">
        <f t="shared" si="23"/>
        <v>5.7144825880626728E-2</v>
      </c>
      <c r="AA237" s="49">
        <f t="shared" si="24"/>
        <v>2022</v>
      </c>
      <c r="AB237" s="29">
        <f t="shared" si="25"/>
        <v>3.0044598254798491</v>
      </c>
      <c r="AC237" s="23">
        <f t="shared" si="26"/>
        <v>86</v>
      </c>
      <c r="AD237" s="23" t="str">
        <f t="shared" si="27"/>
        <v>No</v>
      </c>
    </row>
    <row r="238" spans="1:30" x14ac:dyDescent="0.3">
      <c r="A238" s="23">
        <v>237</v>
      </c>
      <c r="B238" s="21" t="s">
        <v>286</v>
      </c>
      <c r="C238" s="23" t="s">
        <v>560</v>
      </c>
      <c r="D238" s="23">
        <v>-3</v>
      </c>
      <c r="E238" s="23" t="s">
        <v>41</v>
      </c>
      <c r="F238" s="23" t="s">
        <v>42</v>
      </c>
      <c r="G238" s="25">
        <v>6.4279999999999999</v>
      </c>
      <c r="H238" s="25">
        <v>0</v>
      </c>
      <c r="I238" s="25">
        <v>0</v>
      </c>
      <c r="J238" s="25">
        <v>0</v>
      </c>
      <c r="K238" s="25">
        <v>0</v>
      </c>
      <c r="L238" s="25">
        <v>0</v>
      </c>
      <c r="M238" s="25"/>
      <c r="N238" s="25">
        <v>0</v>
      </c>
      <c r="O238" s="25">
        <v>0</v>
      </c>
      <c r="P238" s="25">
        <v>0</v>
      </c>
      <c r="Q238" s="25">
        <v>0</v>
      </c>
      <c r="R238" s="25">
        <v>0</v>
      </c>
      <c r="S238" s="25"/>
      <c r="T238" s="25">
        <v>0.18484424819776749</v>
      </c>
      <c r="U238" s="25">
        <v>0</v>
      </c>
      <c r="V238" s="25">
        <v>0</v>
      </c>
      <c r="W238" s="25">
        <v>0</v>
      </c>
      <c r="X238" s="25">
        <f t="shared" si="21"/>
        <v>0.18484424819776749</v>
      </c>
      <c r="Y238" s="27">
        <f t="shared" si="22"/>
        <v>2.8756105817947648</v>
      </c>
      <c r="Z238" s="25">
        <f t="shared" si="23"/>
        <v>0.18484424819776749</v>
      </c>
      <c r="AA238" s="49">
        <f t="shared" si="24"/>
        <v>2022</v>
      </c>
      <c r="AB238" s="29">
        <f t="shared" si="25"/>
        <v>2.8756105817947648</v>
      </c>
      <c r="AC238" s="23">
        <f t="shared" si="26"/>
        <v>91</v>
      </c>
      <c r="AD238" s="23" t="str">
        <f t="shared" si="27"/>
        <v>No</v>
      </c>
    </row>
    <row r="239" spans="1:30" x14ac:dyDescent="0.3">
      <c r="A239" s="23">
        <v>238</v>
      </c>
      <c r="B239" s="21" t="s">
        <v>287</v>
      </c>
      <c r="C239" s="23" t="s">
        <v>561</v>
      </c>
      <c r="D239" s="23">
        <v>-3</v>
      </c>
      <c r="E239" s="23" t="s">
        <v>41</v>
      </c>
      <c r="F239" s="23" t="s">
        <v>42</v>
      </c>
      <c r="G239" s="25">
        <v>1.536</v>
      </c>
      <c r="H239" s="25">
        <v>0</v>
      </c>
      <c r="I239" s="25">
        <v>0</v>
      </c>
      <c r="J239" s="25">
        <v>0</v>
      </c>
      <c r="K239" s="25">
        <v>0</v>
      </c>
      <c r="L239" s="25">
        <v>0</v>
      </c>
      <c r="M239" s="25"/>
      <c r="N239" s="25">
        <v>0</v>
      </c>
      <c r="O239" s="25">
        <v>0</v>
      </c>
      <c r="P239" s="25">
        <v>0</v>
      </c>
      <c r="Q239" s="25">
        <v>0</v>
      </c>
      <c r="R239" s="25">
        <v>2.0096946672315243E-4</v>
      </c>
      <c r="S239" s="25"/>
      <c r="T239" s="25">
        <v>0</v>
      </c>
      <c r="U239" s="25">
        <v>1.590064915632247E-4</v>
      </c>
      <c r="V239" s="25">
        <v>0</v>
      </c>
      <c r="W239" s="25">
        <v>0</v>
      </c>
      <c r="X239" s="25">
        <f t="shared" si="21"/>
        <v>3.5997595828637713E-4</v>
      </c>
      <c r="Y239" s="27">
        <f t="shared" si="22"/>
        <v>2.3435934784269342E-2</v>
      </c>
      <c r="Z239" s="25">
        <f t="shared" si="23"/>
        <v>2.0096946672315243E-4</v>
      </c>
      <c r="AA239" s="49">
        <f t="shared" si="24"/>
        <v>2020</v>
      </c>
      <c r="AB239" s="29">
        <f t="shared" si="25"/>
        <v>1.3083949656455237E-2</v>
      </c>
      <c r="AC239" s="23">
        <f t="shared" si="26"/>
        <v>225</v>
      </c>
      <c r="AD239" s="23" t="str">
        <f t="shared" si="27"/>
        <v>No</v>
      </c>
    </row>
    <row r="240" spans="1:30" x14ac:dyDescent="0.3">
      <c r="A240" s="24">
        <v>239</v>
      </c>
      <c r="B240" s="22" t="s">
        <v>288</v>
      </c>
      <c r="C240" s="24" t="s">
        <v>562</v>
      </c>
      <c r="D240" s="24">
        <v>-3</v>
      </c>
      <c r="E240" s="24" t="s">
        <v>41</v>
      </c>
      <c r="F240" s="24" t="s">
        <v>42</v>
      </c>
      <c r="G240" s="26">
        <v>2.883</v>
      </c>
      <c r="H240" s="26">
        <v>0</v>
      </c>
      <c r="I240" s="26">
        <v>0.11075979379762164</v>
      </c>
      <c r="J240" s="26">
        <v>0</v>
      </c>
      <c r="K240" s="26">
        <v>0</v>
      </c>
      <c r="L240" s="26">
        <v>0</v>
      </c>
      <c r="M240" s="26"/>
      <c r="N240" s="26">
        <v>0</v>
      </c>
      <c r="O240" s="26">
        <v>0</v>
      </c>
      <c r="P240" s="26">
        <v>2.5707392201599288E-3</v>
      </c>
      <c r="Q240" s="26">
        <v>0</v>
      </c>
      <c r="R240" s="26">
        <v>5.754291845811531E-3</v>
      </c>
      <c r="S240" s="26"/>
      <c r="T240" s="26">
        <v>2.276518775646187E-3</v>
      </c>
      <c r="U240" s="26">
        <v>6.1934058627397827E-4</v>
      </c>
      <c r="V240" s="26">
        <v>2.2110322669882951E-3</v>
      </c>
      <c r="W240" s="26">
        <v>2.3403571550767522E-3</v>
      </c>
      <c r="X240" s="26">
        <f t="shared" si="21"/>
        <v>0.12653207364757832</v>
      </c>
      <c r="Y240" s="28">
        <f t="shared" si="22"/>
        <v>4.3889030054657763</v>
      </c>
      <c r="Z240" s="26">
        <f t="shared" si="23"/>
        <v>0.11075979379762164</v>
      </c>
      <c r="AA240" s="50">
        <f t="shared" si="24"/>
        <v>2011</v>
      </c>
      <c r="AB240" s="30">
        <f t="shared" si="25"/>
        <v>3.8418242732439003</v>
      </c>
      <c r="AC240" s="24">
        <f t="shared" si="26"/>
        <v>65</v>
      </c>
      <c r="AD240" s="24" t="str">
        <f t="shared" si="27"/>
        <v>No</v>
      </c>
    </row>
  </sheetData>
  <phoneticPr fontId="1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
  <sheetViews>
    <sheetView showGridLines="0" workbookViewId="0">
      <selection sqref="A1:G1"/>
    </sheetView>
  </sheetViews>
  <sheetFormatPr defaultRowHeight="16.5" x14ac:dyDescent="0.3"/>
  <cols>
    <col min="1" max="1" width="10" customWidth="1"/>
    <col min="2" max="2" width="16" customWidth="1"/>
    <col min="3" max="4" width="22" customWidth="1"/>
    <col min="5" max="5" width="28" customWidth="1"/>
    <col min="6" max="6" width="12" customWidth="1"/>
    <col min="7" max="7" width="24" customWidth="1"/>
  </cols>
  <sheetData>
    <row r="1" spans="1:7" ht="33.950000000000003" customHeight="1" x14ac:dyDescent="0.4">
      <c r="A1" s="52" t="s">
        <v>563</v>
      </c>
      <c r="B1" s="52"/>
      <c r="C1" s="52"/>
      <c r="D1" s="52"/>
      <c r="E1" s="52"/>
      <c r="F1" s="52"/>
      <c r="G1" s="52"/>
    </row>
    <row r="3" spans="1:7" ht="33.950000000000003" customHeight="1" x14ac:dyDescent="0.3">
      <c r="A3" s="31" t="s">
        <v>293</v>
      </c>
      <c r="B3" s="31" t="s">
        <v>294</v>
      </c>
      <c r="C3" s="31" t="s">
        <v>564</v>
      </c>
      <c r="D3" s="31" t="s">
        <v>565</v>
      </c>
      <c r="E3" s="31" t="s">
        <v>317</v>
      </c>
      <c r="F3" s="31" t="s">
        <v>566</v>
      </c>
    </row>
    <row r="4" spans="1:7" x14ac:dyDescent="0.3">
      <c r="A4" s="32">
        <v>-4</v>
      </c>
      <c r="B4" s="32" t="s">
        <v>46</v>
      </c>
      <c r="C4" s="32">
        <f>COUNTIF('Flood Metrics'!$D$2:$D$240,A4)</f>
        <v>11</v>
      </c>
      <c r="D4" s="34">
        <f>SUMIF('Flood Metrics'!$D$2:$D$240,A4,'Flood Metrics'!$G$2:$G$240)</f>
        <v>31.350999999999999</v>
      </c>
      <c r="E4" s="34">
        <f>SUMIF('Flood Metrics'!$D$2:$D$240,A4,'Flood Metrics'!$X$2:$X$240)</f>
        <v>1.6847710378040799</v>
      </c>
      <c r="F4" s="36">
        <f>IF(C4=0,"",AVERAGEIF('Flood Metrics'!$D$2:$D$240,A4,'Flood Metrics'!$Y$2:$Y$240))</f>
        <v>5.0801946608583997</v>
      </c>
    </row>
    <row r="5" spans="1:7" x14ac:dyDescent="0.3">
      <c r="A5" s="32">
        <v>-3</v>
      </c>
      <c r="B5" s="32" t="s">
        <v>41</v>
      </c>
      <c r="C5" s="32">
        <f>COUNTIF('Flood Metrics'!$D$2:$D$240,A5)</f>
        <v>84</v>
      </c>
      <c r="D5" s="34">
        <f>SUMIF('Flood Metrics'!$D$2:$D$240,A5,'Flood Metrics'!$G$2:$G$240)</f>
        <v>239.51200000000003</v>
      </c>
      <c r="E5" s="34">
        <f>SUMIF('Flood Metrics'!$D$2:$D$240,A5,'Flood Metrics'!$X$2:$X$240)</f>
        <v>9.1316528694130632</v>
      </c>
      <c r="F5" s="36">
        <f>IF(C5=0,"",AVERAGEIF('Flood Metrics'!$D$2:$D$240,A5,'Flood Metrics'!$Y$2:$Y$240))</f>
        <v>4.1361812784494685</v>
      </c>
    </row>
    <row r="6" spans="1:7" x14ac:dyDescent="0.3">
      <c r="A6" s="32">
        <v>-2</v>
      </c>
      <c r="B6" s="32" t="s">
        <v>44</v>
      </c>
      <c r="C6" s="32">
        <f>COUNTIF('Flood Metrics'!$D$2:$D$240,A6)</f>
        <v>122</v>
      </c>
      <c r="D6" s="34">
        <f>SUMIF('Flood Metrics'!$D$2:$D$240,A6,'Flood Metrics'!$G$2:$G$240)</f>
        <v>282.714</v>
      </c>
      <c r="E6" s="34">
        <f>SUMIF('Flood Metrics'!$D$2:$D$240,A6,'Flood Metrics'!$X$2:$X$240)</f>
        <v>18.37712344938625</v>
      </c>
      <c r="F6" s="36">
        <f>IF(C6=0,"",AVERAGEIF('Flood Metrics'!$D$2:$D$240,A6,'Flood Metrics'!$Y$2:$Y$240))</f>
        <v>8.1337624551004151</v>
      </c>
    </row>
    <row r="7" spans="1:7" x14ac:dyDescent="0.3">
      <c r="A7" s="32">
        <v>-1</v>
      </c>
      <c r="B7" s="32" t="s">
        <v>55</v>
      </c>
      <c r="C7" s="32">
        <f>COUNTIF('Flood Metrics'!$D$2:$D$240,A7)</f>
        <v>17</v>
      </c>
      <c r="D7" s="34">
        <f>SUMIF('Flood Metrics'!$D$2:$D$240,A7,'Flood Metrics'!$G$2:$G$240)</f>
        <v>35.671999999999997</v>
      </c>
      <c r="E7" s="34">
        <f>SUMIF('Flood Metrics'!$D$2:$D$240,A7,'Flood Metrics'!$X$2:$X$240)</f>
        <v>2.7441616936717845</v>
      </c>
      <c r="F7" s="36">
        <f>IF(C7=0,"",AVERAGEIF('Flood Metrics'!$D$2:$D$240,A7,'Flood Metrics'!$Y$2:$Y$240))</f>
        <v>6.2754994323364324</v>
      </c>
    </row>
    <row r="8" spans="1:7" x14ac:dyDescent="0.3">
      <c r="A8" s="32">
        <v>0</v>
      </c>
      <c r="B8" s="32" t="s">
        <v>276</v>
      </c>
      <c r="C8" s="32">
        <f>COUNTIF('Flood Metrics'!$D$2:$D$240,A8)</f>
        <v>1</v>
      </c>
      <c r="D8" s="34">
        <f>SUMIF('Flood Metrics'!$D$2:$D$240,A8,'Flood Metrics'!$G$2:$G$240)</f>
        <v>0.54100000000000004</v>
      </c>
      <c r="E8" s="34">
        <f>SUMIF('Flood Metrics'!$D$2:$D$240,A8,'Flood Metrics'!$X$2:$X$240)</f>
        <v>2.5413734221728188E-2</v>
      </c>
      <c r="F8" s="36">
        <f>IF(C8=0,"",AVERAGEIF('Flood Metrics'!$D$2:$D$240,A8,'Flood Metrics'!$Y$2:$Y$240))</f>
        <v>4.6975479152917163</v>
      </c>
    </row>
    <row r="9" spans="1:7" x14ac:dyDescent="0.3">
      <c r="A9" s="32">
        <v>1</v>
      </c>
      <c r="B9" s="32" t="s">
        <v>52</v>
      </c>
      <c r="C9" s="32">
        <f>COUNTIF('Flood Metrics'!$D$2:$D$240,A9)</f>
        <v>2</v>
      </c>
      <c r="D9" s="34">
        <f>SUMIF('Flood Metrics'!$D$2:$D$240,A9,'Flood Metrics'!$G$2:$G$240)</f>
        <v>6.1690000000000005</v>
      </c>
      <c r="E9" s="34">
        <f>SUMIF('Flood Metrics'!$D$2:$D$240,A9,'Flood Metrics'!$X$2:$X$240)</f>
        <v>3.7041868207438107E-2</v>
      </c>
      <c r="F9" s="36">
        <f>IF(C9=0,"",AVERAGEIF('Flood Metrics'!$D$2:$D$240,A9,'Flood Metrics'!$Y$2:$Y$240))</f>
        <v>0.51812166939182824</v>
      </c>
    </row>
    <row r="10" spans="1:7" x14ac:dyDescent="0.3">
      <c r="A10" s="32">
        <v>2</v>
      </c>
      <c r="B10" s="32" t="s">
        <v>297</v>
      </c>
      <c r="C10" s="32">
        <f>COUNTIF('Flood Metrics'!$D$2:$D$240,A10)</f>
        <v>0</v>
      </c>
      <c r="D10" s="34">
        <f>SUMIF('Flood Metrics'!$D$2:$D$240,A10,'Flood Metrics'!$G$2:$G$240)</f>
        <v>0</v>
      </c>
      <c r="E10" s="34">
        <f>SUMIF('Flood Metrics'!$D$2:$D$240,A10,'Flood Metrics'!$X$2:$X$240)</f>
        <v>0</v>
      </c>
      <c r="F10" s="36" t="str">
        <f>IF(C10=0,"",AVERAGEIF('Flood Metrics'!$D$2:$D$240,A10,'Flood Metrics'!$Y$2:$Y$240))</f>
        <v/>
      </c>
    </row>
    <row r="11" spans="1:7" x14ac:dyDescent="0.3">
      <c r="A11" s="33">
        <v>3</v>
      </c>
      <c r="B11" s="33" t="s">
        <v>298</v>
      </c>
      <c r="C11" s="33">
        <f>COUNTIF('Flood Metrics'!$D$2:$D$240,A11)</f>
        <v>0</v>
      </c>
      <c r="D11" s="35">
        <f>SUMIF('Flood Metrics'!$D$2:$D$240,A11,'Flood Metrics'!$G$2:$G$240)</f>
        <v>0</v>
      </c>
      <c r="E11" s="35">
        <f>SUMIF('Flood Metrics'!$D$2:$D$240,A11,'Flood Metrics'!$X$2:$X$240)</f>
        <v>0</v>
      </c>
      <c r="F11" s="37" t="str">
        <f>IF(C11=0,"",AVERAGEIF('Flood Metrics'!$D$2:$D$240,A11,'Flood Metrics'!$Y$2:$Y$240))</f>
        <v/>
      </c>
    </row>
    <row r="13" spans="1:7" ht="24" customHeight="1" x14ac:dyDescent="0.3">
      <c r="A13" s="56" t="s">
        <v>567</v>
      </c>
      <c r="B13" s="56"/>
      <c r="C13" s="56"/>
      <c r="D13" s="56"/>
      <c r="E13" s="56"/>
      <c r="F13" s="56"/>
      <c r="G13" s="56"/>
    </row>
    <row r="14" spans="1:7" ht="38.1" customHeight="1" x14ac:dyDescent="0.3">
      <c r="A14" s="31" t="s">
        <v>568</v>
      </c>
      <c r="B14" s="31" t="s">
        <v>34</v>
      </c>
      <c r="C14" s="31" t="s">
        <v>35</v>
      </c>
      <c r="D14" s="31" t="s">
        <v>38</v>
      </c>
      <c r="E14" s="31" t="s">
        <v>321</v>
      </c>
      <c r="F14" s="31" t="s">
        <v>569</v>
      </c>
      <c r="G14" s="31" t="s">
        <v>319</v>
      </c>
    </row>
    <row r="15" spans="1:7" x14ac:dyDescent="0.3">
      <c r="A15" s="32">
        <v>1</v>
      </c>
      <c r="B15" s="32">
        <f>INDEX('Flood Metrics'!$A$2:$A$240,MATCH(A15,'Flood Metrics'!$AC$2:$AC$240,0))</f>
        <v>187</v>
      </c>
      <c r="C15" s="19" t="str">
        <f>INDEX('Flood Metrics'!$B$2:$B$240,MATCH(A15,'Flood Metrics'!$AC$2:$AC$240,0))</f>
        <v>Seocho 4</v>
      </c>
      <c r="D15" s="32" t="str">
        <f>INDEX('Flood Metrics'!$E$2:$E$240,MATCH(A15,'Flood Metrics'!$AC$2:$AC$240,0))</f>
        <v>10^-2</v>
      </c>
      <c r="E15" s="38">
        <f>INDEX('Flood Metrics'!$AB$2:$AB$240,MATCH(A15,'Flood Metrics'!$AC$2:$AC$240,0))</f>
        <v>78.487623729476908</v>
      </c>
      <c r="F15" s="32">
        <f>INDEX('Flood Metrics'!$AA$2:$AA$240,MATCH(A15,'Flood Metrics'!$AC$2:$AC$240,0))</f>
        <v>2010</v>
      </c>
      <c r="G15" s="40">
        <f>INDEX('Flood Metrics'!$Z$2:$Z$240,MATCH(A15,'Flood Metrics'!$AC$2:$AC$240,0))</f>
        <v>0.83039905905786571</v>
      </c>
    </row>
    <row r="16" spans="1:7" x14ac:dyDescent="0.3">
      <c r="A16" s="32">
        <v>2</v>
      </c>
      <c r="B16" s="32">
        <f>INDEX('Flood Metrics'!$A$2:$A$240,MATCH(A16,'Flood Metrics'!$AC$2:$AC$240,0))</f>
        <v>140</v>
      </c>
      <c r="C16" s="19" t="str">
        <f>INDEX('Flood Metrics'!$B$2:$B$240,MATCH(A16,'Flood Metrics'!$AC$2:$AC$240,0))</f>
        <v>Sinwol 3</v>
      </c>
      <c r="D16" s="32" t="str">
        <f>INDEX('Flood Metrics'!$E$2:$E$240,MATCH(A16,'Flood Metrics'!$AC$2:$AC$240,0))</f>
        <v>10^-2</v>
      </c>
      <c r="E16" s="38">
        <f>INDEX('Flood Metrics'!$AB$2:$AB$240,MATCH(A16,'Flood Metrics'!$AC$2:$AC$240,0))</f>
        <v>42.021838449403049</v>
      </c>
      <c r="F16" s="32">
        <f>INDEX('Flood Metrics'!$AA$2:$AA$240,MATCH(A16,'Flood Metrics'!$AC$2:$AC$240,0))</f>
        <v>2010</v>
      </c>
      <c r="G16" s="40">
        <f>INDEX('Flood Metrics'!$Z$2:$Z$240,MATCH(A16,'Flood Metrics'!$AC$2:$AC$240,0))</f>
        <v>0.7248767132522026</v>
      </c>
    </row>
    <row r="17" spans="1:7" x14ac:dyDescent="0.3">
      <c r="A17" s="32">
        <v>3</v>
      </c>
      <c r="B17" s="32">
        <f>INDEX('Flood Metrics'!$A$2:$A$240,MATCH(A17,'Flood Metrics'!$AC$2:$AC$240,0))</f>
        <v>186</v>
      </c>
      <c r="C17" s="19" t="str">
        <f>INDEX('Flood Metrics'!$B$2:$B$240,MATCH(A17,'Flood Metrics'!$AC$2:$AC$240,0))</f>
        <v>Bangbae 2</v>
      </c>
      <c r="D17" s="32" t="str">
        <f>INDEX('Flood Metrics'!$E$2:$E$240,MATCH(A17,'Flood Metrics'!$AC$2:$AC$240,0))</f>
        <v>10^-2</v>
      </c>
      <c r="E17" s="38">
        <f>INDEX('Flood Metrics'!$AB$2:$AB$240,MATCH(A17,'Flood Metrics'!$AC$2:$AC$240,0))</f>
        <v>28.759450036484484</v>
      </c>
      <c r="F17" s="32">
        <f>INDEX('Flood Metrics'!$AA$2:$AA$240,MATCH(A17,'Flood Metrics'!$AC$2:$AC$240,0))</f>
        <v>2010</v>
      </c>
      <c r="G17" s="40">
        <f>INDEX('Flood Metrics'!$Z$2:$Z$240,MATCH(A17,'Flood Metrics'!$AC$2:$AC$240,0))</f>
        <v>0.39429206000020228</v>
      </c>
    </row>
    <row r="18" spans="1:7" x14ac:dyDescent="0.3">
      <c r="A18" s="32">
        <v>4</v>
      </c>
      <c r="B18" s="32">
        <f>INDEX('Flood Metrics'!$A$2:$A$240,MATCH(A18,'Flood Metrics'!$AC$2:$AC$240,0))</f>
        <v>110</v>
      </c>
      <c r="C18" s="19" t="str">
        <f>INDEX('Flood Metrics'!$B$2:$B$240,MATCH(A18,'Flood Metrics'!$AC$2:$AC$240,0))</f>
        <v>Hwagok 1</v>
      </c>
      <c r="D18" s="32" t="str">
        <f>INDEX('Flood Metrics'!$E$2:$E$240,MATCH(A18,'Flood Metrics'!$AC$2:$AC$240,0))</f>
        <v>10^-3</v>
      </c>
      <c r="E18" s="38">
        <f>INDEX('Flood Metrics'!$AB$2:$AB$240,MATCH(A18,'Flood Metrics'!$AC$2:$AC$240,0))</f>
        <v>28.294298155985715</v>
      </c>
      <c r="F18" s="32">
        <f>INDEX('Flood Metrics'!$AA$2:$AA$240,MATCH(A18,'Flood Metrics'!$AC$2:$AC$240,0))</f>
        <v>2010</v>
      </c>
      <c r="G18" s="40">
        <f>INDEX('Flood Metrics'!$Z$2:$Z$240,MATCH(A18,'Flood Metrics'!$AC$2:$AC$240,0))</f>
        <v>0.64624176988271365</v>
      </c>
    </row>
    <row r="19" spans="1:7" x14ac:dyDescent="0.3">
      <c r="A19" s="32">
        <v>5</v>
      </c>
      <c r="B19" s="32">
        <f>INDEX('Flood Metrics'!$A$2:$A$240,MATCH(A19,'Flood Metrics'!$AC$2:$AC$240,0))</f>
        <v>4</v>
      </c>
      <c r="C19" s="19" t="str">
        <f>INDEX('Flood Metrics'!$B$2:$B$240,MATCH(A19,'Flood Metrics'!$AC$2:$AC$240,0))</f>
        <v>Sanggye 2</v>
      </c>
      <c r="D19" s="32" t="str">
        <f>INDEX('Flood Metrics'!$E$2:$E$240,MATCH(A19,'Flood Metrics'!$AC$2:$AC$240,0))</f>
        <v>10^-2</v>
      </c>
      <c r="E19" s="38">
        <f>INDEX('Flood Metrics'!$AB$2:$AB$240,MATCH(A19,'Flood Metrics'!$AC$2:$AC$240,0))</f>
        <v>27.892606842246298</v>
      </c>
      <c r="F19" s="32">
        <f>INDEX('Flood Metrics'!$AA$2:$AA$240,MATCH(A19,'Flood Metrics'!$AC$2:$AC$240,0))</f>
        <v>2022</v>
      </c>
      <c r="G19" s="40">
        <f>INDEX('Flood Metrics'!$Z$2:$Z$240,MATCH(A19,'Flood Metrics'!$AC$2:$AC$240,0))</f>
        <v>0.60248030779252004</v>
      </c>
    </row>
    <row r="20" spans="1:7" x14ac:dyDescent="0.3">
      <c r="A20" s="32">
        <v>6</v>
      </c>
      <c r="B20" s="32">
        <f>INDEX('Flood Metrics'!$A$2:$A$240,MATCH(A20,'Flood Metrics'!$AC$2:$AC$240,0))</f>
        <v>121</v>
      </c>
      <c r="C20" s="19" t="str">
        <f>INDEX('Flood Metrics'!$B$2:$B$240,MATCH(A20,'Flood Metrics'!$AC$2:$AC$240,0))</f>
        <v>Sinwol 1</v>
      </c>
      <c r="D20" s="32" t="str">
        <f>INDEX('Flood Metrics'!$E$2:$E$240,MATCH(A20,'Flood Metrics'!$AC$2:$AC$240,0))</f>
        <v>10^-2</v>
      </c>
      <c r="E20" s="38">
        <f>INDEX('Flood Metrics'!$AB$2:$AB$240,MATCH(A20,'Flood Metrics'!$AC$2:$AC$240,0))</f>
        <v>27.155823274296186</v>
      </c>
      <c r="F20" s="32">
        <f>INDEX('Flood Metrics'!$AA$2:$AA$240,MATCH(A20,'Flood Metrics'!$AC$2:$AC$240,0))</f>
        <v>2010</v>
      </c>
      <c r="G20" s="40">
        <f>INDEX('Flood Metrics'!$Z$2:$Z$240,MATCH(A20,'Flood Metrics'!$AC$2:$AC$240,0))</f>
        <v>0.41385474670027389</v>
      </c>
    </row>
    <row r="21" spans="1:7" x14ac:dyDescent="0.3">
      <c r="A21" s="32">
        <v>7</v>
      </c>
      <c r="B21" s="32">
        <f>INDEX('Flood Metrics'!$A$2:$A$240,MATCH(A21,'Flood Metrics'!$AC$2:$AC$240,0))</f>
        <v>11</v>
      </c>
      <c r="C21" s="19" t="str">
        <f>INDEX('Flood Metrics'!$B$2:$B$240,MATCH(A21,'Flood Metrics'!$AC$2:$AC$240,0))</f>
        <v>Uei 2</v>
      </c>
      <c r="D21" s="32" t="str">
        <f>INDEX('Flood Metrics'!$E$2:$E$240,MATCH(A21,'Flood Metrics'!$AC$2:$AC$240,0))</f>
        <v>10^-1</v>
      </c>
      <c r="E21" s="38">
        <f>INDEX('Flood Metrics'!$AB$2:$AB$240,MATCH(A21,'Flood Metrics'!$AC$2:$AC$240,0))</f>
        <v>26.180961901766665</v>
      </c>
      <c r="F21" s="32">
        <f>INDEX('Flood Metrics'!$AA$2:$AA$240,MATCH(A21,'Flood Metrics'!$AC$2:$AC$240,0))</f>
        <v>2025</v>
      </c>
      <c r="G21" s="40">
        <f>INDEX('Flood Metrics'!$Z$2:$Z$240,MATCH(A21,'Flood Metrics'!$AC$2:$AC$240,0))</f>
        <v>0.98126245207821461</v>
      </c>
    </row>
    <row r="22" spans="1:7" x14ac:dyDescent="0.3">
      <c r="A22" s="32">
        <v>8</v>
      </c>
      <c r="B22" s="32">
        <f>INDEX('Flood Metrics'!$A$2:$A$240,MATCH(A22,'Flood Metrics'!$AC$2:$AC$240,0))</f>
        <v>19</v>
      </c>
      <c r="C22" s="19" t="str">
        <f>INDEX('Flood Metrics'!$B$2:$B$240,MATCH(A22,'Flood Metrics'!$AC$2:$AC$240,0))</f>
        <v>Sooyoo 1</v>
      </c>
      <c r="D22" s="32" t="str">
        <f>INDEX('Flood Metrics'!$E$2:$E$240,MATCH(A22,'Flood Metrics'!$AC$2:$AC$240,0))</f>
        <v>10^-2</v>
      </c>
      <c r="E22" s="38">
        <f>INDEX('Flood Metrics'!$AB$2:$AB$240,MATCH(A22,'Flood Metrics'!$AC$2:$AC$240,0))</f>
        <v>25.534068476316797</v>
      </c>
      <c r="F22" s="32">
        <f>INDEX('Flood Metrics'!$AA$2:$AA$240,MATCH(A22,'Flood Metrics'!$AC$2:$AC$240,0))</f>
        <v>2025</v>
      </c>
      <c r="G22" s="40">
        <f>INDEX('Flood Metrics'!$Z$2:$Z$240,MATCH(A22,'Flood Metrics'!$AC$2:$AC$240,0))</f>
        <v>0.66133237353660501</v>
      </c>
    </row>
    <row r="23" spans="1:7" x14ac:dyDescent="0.3">
      <c r="A23" s="32">
        <v>9</v>
      </c>
      <c r="B23" s="32">
        <f>INDEX('Flood Metrics'!$A$2:$A$240,MATCH(A23,'Flood Metrics'!$AC$2:$AC$240,0))</f>
        <v>3</v>
      </c>
      <c r="C23" s="19" t="str">
        <f>INDEX('Flood Metrics'!$B$2:$B$240,MATCH(A23,'Flood Metrics'!$AC$2:$AC$240,0))</f>
        <v>Sanggye 3</v>
      </c>
      <c r="D23" s="32" t="str">
        <f>INDEX('Flood Metrics'!$E$2:$E$240,MATCH(A23,'Flood Metrics'!$AC$2:$AC$240,0))</f>
        <v>10^-4</v>
      </c>
      <c r="E23" s="38">
        <f>INDEX('Flood Metrics'!$AB$2:$AB$240,MATCH(A23,'Flood Metrics'!$AC$2:$AC$240,0))</f>
        <v>25.501816282464386</v>
      </c>
      <c r="F23" s="32">
        <f>INDEX('Flood Metrics'!$AA$2:$AA$240,MATCH(A23,'Flood Metrics'!$AC$2:$AC$240,0))</f>
        <v>2022</v>
      </c>
      <c r="G23" s="40">
        <f>INDEX('Flood Metrics'!$Z$2:$Z$240,MATCH(A23,'Flood Metrics'!$AC$2:$AC$240,0))</f>
        <v>1.0417491951386701</v>
      </c>
    </row>
    <row r="24" spans="1:7" x14ac:dyDescent="0.3">
      <c r="A24" s="32">
        <v>10</v>
      </c>
      <c r="B24" s="32">
        <f>INDEX('Flood Metrics'!$A$2:$A$240,MATCH(A24,'Flood Metrics'!$AC$2:$AC$240,0))</f>
        <v>133</v>
      </c>
      <c r="C24" s="19" t="str">
        <f>INDEX('Flood Metrics'!$B$2:$B$240,MATCH(A24,'Flood Metrics'!$AC$2:$AC$240,0))</f>
        <v>Hwagok 2</v>
      </c>
      <c r="D24" s="32" t="str">
        <f>INDEX('Flood Metrics'!$E$2:$E$240,MATCH(A24,'Flood Metrics'!$AC$2:$AC$240,0))</f>
        <v>10^-3</v>
      </c>
      <c r="E24" s="38">
        <f>INDEX('Flood Metrics'!$AB$2:$AB$240,MATCH(A24,'Flood Metrics'!$AC$2:$AC$240,0))</f>
        <v>23.36397313214988</v>
      </c>
      <c r="F24" s="32">
        <f>INDEX('Flood Metrics'!$AA$2:$AA$240,MATCH(A24,'Flood Metrics'!$AC$2:$AC$240,0))</f>
        <v>2010</v>
      </c>
      <c r="G24" s="40">
        <f>INDEX('Flood Metrics'!$Z$2:$Z$240,MATCH(A24,'Flood Metrics'!$AC$2:$AC$240,0))</f>
        <v>0.76049732545147863</v>
      </c>
    </row>
    <row r="25" spans="1:7" x14ac:dyDescent="0.3">
      <c r="A25" s="32">
        <v>11</v>
      </c>
      <c r="B25" s="32">
        <f>INDEX('Flood Metrics'!$A$2:$A$240,MATCH(A25,'Flood Metrics'!$AC$2:$AC$240,0))</f>
        <v>208</v>
      </c>
      <c r="C25" s="19" t="str">
        <f>INDEX('Flood Metrics'!$B$2:$B$240,MATCH(A25,'Flood Metrics'!$AC$2:$AC$240,0))</f>
        <v>Bangbae 4</v>
      </c>
      <c r="D25" s="32" t="str">
        <f>INDEX('Flood Metrics'!$E$2:$E$240,MATCH(A25,'Flood Metrics'!$AC$2:$AC$240,0))</f>
        <v>10^-2</v>
      </c>
      <c r="E25" s="38">
        <f>INDEX('Flood Metrics'!$AB$2:$AB$240,MATCH(A25,'Flood Metrics'!$AC$2:$AC$240,0))</f>
        <v>22.476080860109356</v>
      </c>
      <c r="F25" s="32">
        <f>INDEX('Flood Metrics'!$AA$2:$AA$240,MATCH(A25,'Flood Metrics'!$AC$2:$AC$240,0))</f>
        <v>2011</v>
      </c>
      <c r="G25" s="40">
        <f>INDEX('Flood Metrics'!$Z$2:$Z$240,MATCH(A25,'Flood Metrics'!$AC$2:$AC$240,0))</f>
        <v>0.35130114384350919</v>
      </c>
    </row>
    <row r="26" spans="1:7" x14ac:dyDescent="0.3">
      <c r="A26" s="32">
        <v>12</v>
      </c>
      <c r="B26" s="32">
        <f>INDEX('Flood Metrics'!$A$2:$A$240,MATCH(A26,'Flood Metrics'!$AC$2:$AC$240,0))</f>
        <v>209</v>
      </c>
      <c r="C26" s="19" t="str">
        <f>INDEX('Flood Metrics'!$B$2:$B$240,MATCH(A26,'Flood Metrics'!$AC$2:$AC$240,0))</f>
        <v>Sadang</v>
      </c>
      <c r="D26" s="32" t="str">
        <f>INDEX('Flood Metrics'!$E$2:$E$240,MATCH(A26,'Flood Metrics'!$AC$2:$AC$240,0))</f>
        <v>10^-2</v>
      </c>
      <c r="E26" s="38">
        <f>INDEX('Flood Metrics'!$AB$2:$AB$240,MATCH(A26,'Flood Metrics'!$AC$2:$AC$240,0))</f>
        <v>22.15801553901516</v>
      </c>
      <c r="F26" s="32">
        <f>INDEX('Flood Metrics'!$AA$2:$AA$240,MATCH(A26,'Flood Metrics'!$AC$2:$AC$240,0))</f>
        <v>2022</v>
      </c>
      <c r="G26" s="40">
        <f>INDEX('Flood Metrics'!$Z$2:$Z$240,MATCH(A26,'Flood Metrics'!$AC$2:$AC$240,0))</f>
        <v>0.40637800498553805</v>
      </c>
    </row>
    <row r="27" spans="1:7" x14ac:dyDescent="0.3">
      <c r="A27" s="32">
        <v>13</v>
      </c>
      <c r="B27" s="32">
        <f>INDEX('Flood Metrics'!$A$2:$A$240,MATCH(A27,'Flood Metrics'!$AC$2:$AC$240,0))</f>
        <v>189</v>
      </c>
      <c r="C27" s="19" t="str">
        <f>INDEX('Flood Metrics'!$B$2:$B$240,MATCH(A27,'Flood Metrics'!$AC$2:$AC$240,0))</f>
        <v>Bangbae 1</v>
      </c>
      <c r="D27" s="32" t="str">
        <f>INDEX('Flood Metrics'!$E$2:$E$240,MATCH(A27,'Flood Metrics'!$AC$2:$AC$240,0))</f>
        <v>10^-2</v>
      </c>
      <c r="E27" s="38">
        <f>INDEX('Flood Metrics'!$AB$2:$AB$240,MATCH(A27,'Flood Metrics'!$AC$2:$AC$240,0))</f>
        <v>18.746014313610662</v>
      </c>
      <c r="F27" s="32">
        <f>INDEX('Flood Metrics'!$AA$2:$AA$240,MATCH(A27,'Flood Metrics'!$AC$2:$AC$240,0))</f>
        <v>2011</v>
      </c>
      <c r="G27" s="40">
        <f>INDEX('Flood Metrics'!$Z$2:$Z$240,MATCH(A27,'Flood Metrics'!$AC$2:$AC$240,0))</f>
        <v>0.14040764720894386</v>
      </c>
    </row>
    <row r="28" spans="1:7" x14ac:dyDescent="0.3">
      <c r="A28" s="32">
        <v>14</v>
      </c>
      <c r="B28" s="32">
        <f>INDEX('Flood Metrics'!$A$2:$A$240,MATCH(A28,'Flood Metrics'!$AC$2:$AC$240,0))</f>
        <v>177</v>
      </c>
      <c r="C28" s="19" t="str">
        <f>INDEX('Flood Metrics'!$B$2:$B$240,MATCH(A28,'Flood Metrics'!$AC$2:$AC$240,0))</f>
        <v>Daebang</v>
      </c>
      <c r="D28" s="32" t="str">
        <f>INDEX('Flood Metrics'!$E$2:$E$240,MATCH(A28,'Flood Metrics'!$AC$2:$AC$240,0))</f>
        <v>10^-2</v>
      </c>
      <c r="E28" s="38">
        <f>INDEX('Flood Metrics'!$AB$2:$AB$240,MATCH(A28,'Flood Metrics'!$AC$2:$AC$240,0))</f>
        <v>18.483196886619073</v>
      </c>
      <c r="F28" s="32">
        <f>INDEX('Flood Metrics'!$AA$2:$AA$240,MATCH(A28,'Flood Metrics'!$AC$2:$AC$240,0))</f>
        <v>2022</v>
      </c>
      <c r="G28" s="40">
        <f>INDEX('Flood Metrics'!$Z$2:$Z$240,MATCH(A28,'Flood Metrics'!$AC$2:$AC$240,0))</f>
        <v>0.37336057710970527</v>
      </c>
    </row>
    <row r="29" spans="1:7" x14ac:dyDescent="0.3">
      <c r="A29" s="32">
        <v>15</v>
      </c>
      <c r="B29" s="32">
        <f>INDEX('Flood Metrics'!$A$2:$A$240,MATCH(A29,'Flood Metrics'!$AC$2:$AC$240,0))</f>
        <v>128</v>
      </c>
      <c r="C29" s="19" t="str">
        <f>INDEX('Flood Metrics'!$B$2:$B$240,MATCH(A29,'Flood Metrics'!$AC$2:$AC$240,0))</f>
        <v>Gildong</v>
      </c>
      <c r="D29" s="32" t="str">
        <f>INDEX('Flood Metrics'!$E$2:$E$240,MATCH(A29,'Flood Metrics'!$AC$2:$AC$240,0))</f>
        <v>10^-3</v>
      </c>
      <c r="E29" s="38">
        <f>INDEX('Flood Metrics'!$AB$2:$AB$240,MATCH(A29,'Flood Metrics'!$AC$2:$AC$240,0))</f>
        <v>17.872227466103695</v>
      </c>
      <c r="F29" s="32">
        <f>INDEX('Flood Metrics'!$AA$2:$AA$240,MATCH(A29,'Flood Metrics'!$AC$2:$AC$240,0))</f>
        <v>2011</v>
      </c>
      <c r="G29" s="40">
        <f>INDEX('Flood Metrics'!$Z$2:$Z$240,MATCH(A29,'Flood Metrics'!$AC$2:$AC$240,0))</f>
        <v>0.49112881076852954</v>
      </c>
    </row>
    <row r="30" spans="1:7" x14ac:dyDescent="0.3">
      <c r="A30" s="32">
        <v>16</v>
      </c>
      <c r="B30" s="32">
        <f>INDEX('Flood Metrics'!$A$2:$A$240,MATCH(A30,'Flood Metrics'!$AC$2:$AC$240,0))</f>
        <v>172</v>
      </c>
      <c r="C30" s="19" t="str">
        <f>INDEX('Flood Metrics'!$B$2:$B$240,MATCH(A30,'Flood Metrics'!$AC$2:$AC$240,0))</f>
        <v>Dorim 1</v>
      </c>
      <c r="D30" s="32" t="str">
        <f>INDEX('Flood Metrics'!$E$2:$E$240,MATCH(A30,'Flood Metrics'!$AC$2:$AC$240,0))</f>
        <v>10^-3</v>
      </c>
      <c r="E30" s="38">
        <f>INDEX('Flood Metrics'!$AB$2:$AB$240,MATCH(A30,'Flood Metrics'!$AC$2:$AC$240,0))</f>
        <v>15.752972813167283</v>
      </c>
      <c r="F30" s="32">
        <f>INDEX('Flood Metrics'!$AA$2:$AA$240,MATCH(A30,'Flood Metrics'!$AC$2:$AC$240,0))</f>
        <v>2022</v>
      </c>
      <c r="G30" s="40">
        <f>INDEX('Flood Metrics'!$Z$2:$Z$240,MATCH(A30,'Flood Metrics'!$AC$2:$AC$240,0))</f>
        <v>0.42627544432430664</v>
      </c>
    </row>
    <row r="31" spans="1:7" x14ac:dyDescent="0.3">
      <c r="A31" s="32">
        <v>17</v>
      </c>
      <c r="B31" s="32">
        <f>INDEX('Flood Metrics'!$A$2:$A$240,MATCH(A31,'Flood Metrics'!$AC$2:$AC$240,0))</f>
        <v>201</v>
      </c>
      <c r="C31" s="19" t="str">
        <f>INDEX('Flood Metrics'!$B$2:$B$240,MATCH(A31,'Flood Metrics'!$AC$2:$AC$240,0))</f>
        <v>Sinlim 4</v>
      </c>
      <c r="D31" s="32" t="str">
        <f>INDEX('Flood Metrics'!$E$2:$E$240,MATCH(A31,'Flood Metrics'!$AC$2:$AC$240,0))</f>
        <v>10^-1</v>
      </c>
      <c r="E31" s="38">
        <f>INDEX('Flood Metrics'!$AB$2:$AB$240,MATCH(A31,'Flood Metrics'!$AC$2:$AC$240,0))</f>
        <v>15.486974663255381</v>
      </c>
      <c r="F31" s="32">
        <f>INDEX('Flood Metrics'!$AA$2:$AA$240,MATCH(A31,'Flood Metrics'!$AC$2:$AC$240,0))</f>
        <v>2022</v>
      </c>
      <c r="G31" s="40">
        <f>INDEX('Flood Metrics'!$Z$2:$Z$240,MATCH(A31,'Flood Metrics'!$AC$2:$AC$240,0))</f>
        <v>0.39476298416637967</v>
      </c>
    </row>
    <row r="32" spans="1:7" x14ac:dyDescent="0.3">
      <c r="A32" s="32">
        <v>18</v>
      </c>
      <c r="B32" s="32">
        <f>INDEX('Flood Metrics'!$A$2:$A$240,MATCH(A32,'Flood Metrics'!$AC$2:$AC$240,0))</f>
        <v>195</v>
      </c>
      <c r="C32" s="19" t="str">
        <f>INDEX('Flood Metrics'!$B$2:$B$240,MATCH(A32,'Flood Metrics'!$AC$2:$AC$240,0))</f>
        <v>Seocho 3</v>
      </c>
      <c r="D32" s="32" t="str">
        <f>INDEX('Flood Metrics'!$E$2:$E$240,MATCH(A32,'Flood Metrics'!$AC$2:$AC$240,0))</f>
        <v>10^-2</v>
      </c>
      <c r="E32" s="38">
        <f>INDEX('Flood Metrics'!$AB$2:$AB$240,MATCH(A32,'Flood Metrics'!$AC$2:$AC$240,0))</f>
        <v>14.041378354126433</v>
      </c>
      <c r="F32" s="32">
        <f>INDEX('Flood Metrics'!$AA$2:$AA$240,MATCH(A32,'Flood Metrics'!$AC$2:$AC$240,0))</f>
        <v>2010</v>
      </c>
      <c r="G32" s="40">
        <f>INDEX('Flood Metrics'!$Z$2:$Z$240,MATCH(A32,'Flood Metrics'!$AC$2:$AC$240,0))</f>
        <v>0.25063860362115681</v>
      </c>
    </row>
    <row r="33" spans="1:7" x14ac:dyDescent="0.3">
      <c r="A33" s="32">
        <v>19</v>
      </c>
      <c r="B33" s="32">
        <f>INDEX('Flood Metrics'!$A$2:$A$240,MATCH(A33,'Flood Metrics'!$AC$2:$AC$240,0))</f>
        <v>206</v>
      </c>
      <c r="C33" s="19" t="str">
        <f>INDEX('Flood Metrics'!$B$2:$B$240,MATCH(A33,'Flood Metrics'!$AC$2:$AC$240,0))</f>
        <v>Daerim</v>
      </c>
      <c r="D33" s="32" t="str">
        <f>INDEX('Flood Metrics'!$E$2:$E$240,MATCH(A33,'Flood Metrics'!$AC$2:$AC$240,0))</f>
        <v>10^-2</v>
      </c>
      <c r="E33" s="38">
        <f>INDEX('Flood Metrics'!$AB$2:$AB$240,MATCH(A33,'Flood Metrics'!$AC$2:$AC$240,0))</f>
        <v>13.560939354506962</v>
      </c>
      <c r="F33" s="32">
        <f>INDEX('Flood Metrics'!$AA$2:$AA$240,MATCH(A33,'Flood Metrics'!$AC$2:$AC$240,0))</f>
        <v>2022</v>
      </c>
      <c r="G33" s="40">
        <f>INDEX('Flood Metrics'!$Z$2:$Z$240,MATCH(A33,'Flood Metrics'!$AC$2:$AC$240,0))</f>
        <v>0.16951174193133703</v>
      </c>
    </row>
    <row r="34" spans="1:7" x14ac:dyDescent="0.3">
      <c r="A34" s="32">
        <v>20</v>
      </c>
      <c r="B34" s="32">
        <f>INDEX('Flood Metrics'!$A$2:$A$240,MATCH(A34,'Flood Metrics'!$AC$2:$AC$240,0))</f>
        <v>165</v>
      </c>
      <c r="C34" s="19" t="str">
        <f>INDEX('Flood Metrics'!$B$2:$B$240,MATCH(A34,'Flood Metrics'!$AC$2:$AC$240,0))</f>
        <v>Seocho 5</v>
      </c>
      <c r="D34" s="32" t="str">
        <f>INDEX('Flood Metrics'!$E$2:$E$240,MATCH(A34,'Flood Metrics'!$AC$2:$AC$240,0))</f>
        <v>10^-2</v>
      </c>
      <c r="E34" s="38">
        <f>INDEX('Flood Metrics'!$AB$2:$AB$240,MATCH(A34,'Flood Metrics'!$AC$2:$AC$240,0))</f>
        <v>12.807937389585428</v>
      </c>
      <c r="F34" s="32">
        <f>INDEX('Flood Metrics'!$AA$2:$AA$240,MATCH(A34,'Flood Metrics'!$AC$2:$AC$240,0))</f>
        <v>2022</v>
      </c>
      <c r="G34" s="40">
        <f>INDEX('Flood Metrics'!$Z$2:$Z$240,MATCH(A34,'Flood Metrics'!$AC$2:$AC$240,0))</f>
        <v>0.1050250865946005</v>
      </c>
    </row>
    <row r="35" spans="1:7" x14ac:dyDescent="0.3">
      <c r="A35" s="32">
        <v>21</v>
      </c>
      <c r="B35" s="32">
        <f>INDEX('Flood Metrics'!$A$2:$A$240,MATCH(A35,'Flood Metrics'!$AC$2:$AC$240,0))</f>
        <v>174</v>
      </c>
      <c r="C35" s="19" t="str">
        <f>INDEX('Flood Metrics'!$B$2:$B$240,MATCH(A35,'Flood Metrics'!$AC$2:$AC$240,0))</f>
        <v>Sangdo 2</v>
      </c>
      <c r="D35" s="32" t="str">
        <f>INDEX('Flood Metrics'!$E$2:$E$240,MATCH(A35,'Flood Metrics'!$AC$2:$AC$240,0))</f>
        <v>10^-2</v>
      </c>
      <c r="E35" s="38">
        <f>INDEX('Flood Metrics'!$AB$2:$AB$240,MATCH(A35,'Flood Metrics'!$AC$2:$AC$240,0))</f>
        <v>12.521389542746439</v>
      </c>
      <c r="F35" s="32">
        <f>INDEX('Flood Metrics'!$AA$2:$AA$240,MATCH(A35,'Flood Metrics'!$AC$2:$AC$240,0))</f>
        <v>2022</v>
      </c>
      <c r="G35" s="40">
        <f>INDEX('Flood Metrics'!$Z$2:$Z$240,MATCH(A35,'Flood Metrics'!$AC$2:$AC$240,0))</f>
        <v>0.24316538492013584</v>
      </c>
    </row>
    <row r="36" spans="1:7" x14ac:dyDescent="0.3">
      <c r="A36" s="32">
        <v>22</v>
      </c>
      <c r="B36" s="32">
        <f>INDEX('Flood Metrics'!$A$2:$A$240,MATCH(A36,'Flood Metrics'!$AC$2:$AC$240,0))</f>
        <v>37</v>
      </c>
      <c r="C36" s="19" t="str">
        <f>INDEX('Flood Metrics'!$B$2:$B$240,MATCH(A36,'Flood Metrics'!$AC$2:$AC$240,0))</f>
        <v>Nokbeon 2</v>
      </c>
      <c r="D36" s="32" t="str">
        <f>INDEX('Flood Metrics'!$E$2:$E$240,MATCH(A36,'Flood Metrics'!$AC$2:$AC$240,0))</f>
        <v>10^-2</v>
      </c>
      <c r="E36" s="38">
        <f>INDEX('Flood Metrics'!$AB$2:$AB$240,MATCH(A36,'Flood Metrics'!$AC$2:$AC$240,0))</f>
        <v>12.342934639403358</v>
      </c>
      <c r="F36" s="32">
        <f>INDEX('Flood Metrics'!$AA$2:$AA$240,MATCH(A36,'Flood Metrics'!$AC$2:$AC$240,0))</f>
        <v>2010</v>
      </c>
      <c r="G36" s="40">
        <f>INDEX('Flood Metrics'!$Z$2:$Z$240,MATCH(A36,'Flood Metrics'!$AC$2:$AC$240,0))</f>
        <v>0.28215948585676076</v>
      </c>
    </row>
    <row r="37" spans="1:7" x14ac:dyDescent="0.3">
      <c r="A37" s="32">
        <v>23</v>
      </c>
      <c r="B37" s="32">
        <f>INDEX('Flood Metrics'!$A$2:$A$240,MATCH(A37,'Flood Metrics'!$AC$2:$AC$240,0))</f>
        <v>105</v>
      </c>
      <c r="C37" s="19" t="str">
        <f>INDEX('Flood Metrics'!$B$2:$B$240,MATCH(A37,'Flood Metrics'!$AC$2:$AC$240,0))</f>
        <v>Guui</v>
      </c>
      <c r="D37" s="32" t="str">
        <f>INDEX('Flood Metrics'!$E$2:$E$240,MATCH(A37,'Flood Metrics'!$AC$2:$AC$240,0))</f>
        <v>10^-3</v>
      </c>
      <c r="E37" s="38">
        <f>INDEX('Flood Metrics'!$AB$2:$AB$240,MATCH(A37,'Flood Metrics'!$AC$2:$AC$240,0))</f>
        <v>12.204477277682553</v>
      </c>
      <c r="F37" s="32">
        <f>INDEX('Flood Metrics'!$AA$2:$AA$240,MATCH(A37,'Flood Metrics'!$AC$2:$AC$240,0))</f>
        <v>2010</v>
      </c>
      <c r="G37" s="40">
        <f>INDEX('Flood Metrics'!$Z$2:$Z$240,MATCH(A37,'Flood Metrics'!$AC$2:$AC$240,0))</f>
        <v>0.64817978821772038</v>
      </c>
    </row>
    <row r="38" spans="1:7" x14ac:dyDescent="0.3">
      <c r="A38" s="33">
        <v>24</v>
      </c>
      <c r="B38" s="33">
        <f>INDEX('Flood Metrics'!$A$2:$A$240,MATCH(A38,'Flood Metrics'!$AC$2:$AC$240,0))</f>
        <v>183</v>
      </c>
      <c r="C38" s="20" t="str">
        <f>INDEX('Flood Metrics'!$B$2:$B$240,MATCH(A38,'Flood Metrics'!$AC$2:$AC$240,0))</f>
        <v>Isu</v>
      </c>
      <c r="D38" s="33" t="str">
        <f>INDEX('Flood Metrics'!$E$2:$E$240,MATCH(A38,'Flood Metrics'!$AC$2:$AC$240,0))</f>
        <v>10^-3</v>
      </c>
      <c r="E38" s="39">
        <f>INDEX('Flood Metrics'!$AB$2:$AB$240,MATCH(A38,'Flood Metrics'!$AC$2:$AC$240,0))</f>
        <v>11.500688421381895</v>
      </c>
      <c r="F38" s="33">
        <f>INDEX('Flood Metrics'!$AA$2:$AA$240,MATCH(A38,'Flood Metrics'!$AC$2:$AC$240,0))</f>
        <v>2022</v>
      </c>
      <c r="G38" s="41">
        <f>INDEX('Flood Metrics'!$Z$2:$Z$240,MATCH(A38,'Flood Metrics'!$AC$2:$AC$240,0))</f>
        <v>0.15801945890978725</v>
      </c>
    </row>
  </sheetData>
  <mergeCells count="2">
    <mergeCell ref="A1:G1"/>
    <mergeCell ref="A13:G13"/>
  </mergeCells>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9"/>
  <sheetViews>
    <sheetView showGridLines="0" topLeftCell="A10" workbookViewId="0">
      <selection sqref="A1:C1"/>
    </sheetView>
  </sheetViews>
  <sheetFormatPr defaultRowHeight="16.5" x14ac:dyDescent="0.3"/>
  <cols>
    <col min="1" max="1" width="18" customWidth="1"/>
    <col min="2" max="2" width="30" customWidth="1"/>
    <col min="3" max="3" width="110" customWidth="1"/>
  </cols>
  <sheetData>
    <row r="1" spans="1:3" ht="33.950000000000003" customHeight="1" x14ac:dyDescent="0.4">
      <c r="A1" s="52" t="s">
        <v>570</v>
      </c>
      <c r="B1" s="52"/>
      <c r="C1" s="52"/>
    </row>
    <row r="3" spans="1:3" ht="27.95" customHeight="1" x14ac:dyDescent="0.3">
      <c r="A3" s="42" t="s">
        <v>571</v>
      </c>
      <c r="B3" s="42" t="s">
        <v>572</v>
      </c>
      <c r="C3" s="42" t="s">
        <v>573</v>
      </c>
    </row>
    <row r="4" spans="1:3" ht="33.950000000000003" customHeight="1" x14ac:dyDescent="0.3">
      <c r="A4" s="43" t="s">
        <v>574</v>
      </c>
      <c r="B4" s="45" t="s">
        <v>575</v>
      </c>
      <c r="C4" s="47" t="s">
        <v>576</v>
      </c>
    </row>
    <row r="5" spans="1:3" ht="33.950000000000003" customHeight="1" x14ac:dyDescent="0.3">
      <c r="A5" s="43" t="s">
        <v>574</v>
      </c>
      <c r="B5" s="45" t="s">
        <v>577</v>
      </c>
      <c r="C5" s="47" t="s">
        <v>578</v>
      </c>
    </row>
    <row r="6" spans="1:3" ht="33.950000000000003" customHeight="1" x14ac:dyDescent="0.3">
      <c r="A6" s="43" t="s">
        <v>579</v>
      </c>
      <c r="B6" s="45" t="s">
        <v>580</v>
      </c>
      <c r="C6" s="47" t="s">
        <v>581</v>
      </c>
    </row>
    <row r="7" spans="1:3" ht="33.950000000000003" customHeight="1" x14ac:dyDescent="0.3">
      <c r="A7" s="43" t="s">
        <v>582</v>
      </c>
      <c r="B7" s="45" t="s">
        <v>583</v>
      </c>
      <c r="C7" s="47" t="s">
        <v>584</v>
      </c>
    </row>
    <row r="8" spans="1:3" ht="33.950000000000003" customHeight="1" x14ac:dyDescent="0.3">
      <c r="A8" s="43" t="s">
        <v>582</v>
      </c>
      <c r="B8" s="45" t="s">
        <v>585</v>
      </c>
      <c r="C8" s="47" t="s">
        <v>586</v>
      </c>
    </row>
    <row r="9" spans="1:3" ht="33.950000000000003" customHeight="1" x14ac:dyDescent="0.3">
      <c r="A9" s="43" t="s">
        <v>587</v>
      </c>
      <c r="B9" s="45" t="s">
        <v>588</v>
      </c>
      <c r="C9" s="47" t="s">
        <v>589</v>
      </c>
    </row>
    <row r="10" spans="1:3" ht="33.950000000000003" customHeight="1" x14ac:dyDescent="0.3">
      <c r="A10" s="43" t="s">
        <v>587</v>
      </c>
      <c r="B10" s="45" t="s">
        <v>590</v>
      </c>
      <c r="C10" s="47" t="s">
        <v>591</v>
      </c>
    </row>
    <row r="11" spans="1:3" ht="33.950000000000003" customHeight="1" x14ac:dyDescent="0.3">
      <c r="A11" s="43" t="s">
        <v>587</v>
      </c>
      <c r="B11" s="45" t="s">
        <v>592</v>
      </c>
      <c r="C11" s="47" t="s">
        <v>593</v>
      </c>
    </row>
    <row r="12" spans="1:3" ht="33.950000000000003" customHeight="1" x14ac:dyDescent="0.3">
      <c r="A12" s="43" t="s">
        <v>587</v>
      </c>
      <c r="B12" s="45" t="s">
        <v>594</v>
      </c>
      <c r="C12" s="47" t="s">
        <v>595</v>
      </c>
    </row>
    <row r="13" spans="1:3" ht="33.950000000000003" customHeight="1" x14ac:dyDescent="0.3">
      <c r="A13" s="43" t="s">
        <v>596</v>
      </c>
      <c r="B13" s="45" t="s">
        <v>597</v>
      </c>
      <c r="C13" s="47" t="s">
        <v>598</v>
      </c>
    </row>
    <row r="14" spans="1:3" ht="33.950000000000003" customHeight="1" x14ac:dyDescent="0.3">
      <c r="A14" s="43" t="s">
        <v>596</v>
      </c>
      <c r="B14" s="45" t="s">
        <v>599</v>
      </c>
      <c r="C14" s="47" t="s">
        <v>600</v>
      </c>
    </row>
    <row r="15" spans="1:3" ht="33.950000000000003" customHeight="1" x14ac:dyDescent="0.3">
      <c r="A15" s="43" t="s">
        <v>596</v>
      </c>
      <c r="B15" s="45" t="s">
        <v>601</v>
      </c>
      <c r="C15" s="47" t="s">
        <v>602</v>
      </c>
    </row>
    <row r="16" spans="1:3" ht="33.950000000000003" customHeight="1" x14ac:dyDescent="0.3">
      <c r="A16" s="43" t="s">
        <v>596</v>
      </c>
      <c r="B16" s="45" t="s">
        <v>603</v>
      </c>
      <c r="C16" s="47" t="s">
        <v>604</v>
      </c>
    </row>
    <row r="17" spans="1:3" ht="33.950000000000003" customHeight="1" x14ac:dyDescent="0.3">
      <c r="A17" s="43" t="s">
        <v>596</v>
      </c>
      <c r="B17" s="45" t="s">
        <v>605</v>
      </c>
      <c r="C17" s="47" t="s">
        <v>606</v>
      </c>
    </row>
    <row r="18" spans="1:3" ht="33.950000000000003" customHeight="1" x14ac:dyDescent="0.3">
      <c r="A18" s="43" t="s">
        <v>607</v>
      </c>
      <c r="B18" s="45" t="s">
        <v>608</v>
      </c>
      <c r="C18" s="47" t="s">
        <v>609</v>
      </c>
    </row>
    <row r="19" spans="1:3" ht="33.950000000000003" customHeight="1" x14ac:dyDescent="0.3">
      <c r="A19" s="44" t="s">
        <v>610</v>
      </c>
      <c r="B19" s="46" t="s">
        <v>611</v>
      </c>
      <c r="C19" s="48" t="s">
        <v>612</v>
      </c>
    </row>
  </sheetData>
  <mergeCells count="1">
    <mergeCell ref="A1:C1"/>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Metadata</vt:lpstr>
      <vt:lpstr>Best Beta Results</vt:lpstr>
      <vt:lpstr>All Beta NSE</vt:lpstr>
      <vt:lpstr>Summary</vt:lpstr>
      <vt:lpstr>Flood Metrics</vt:lpstr>
      <vt:lpstr>Flood Summary</vt:lpstr>
      <vt:lpstr>Flood Data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Seokminsoo</cp:lastModifiedBy>
  <dcterms:modified xsi:type="dcterms:W3CDTF">2026-09-17T13:55:54Z</dcterms:modified>
</cp:coreProperties>
</file>